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6" windowHeight="11160" tabRatio="500" firstSheet="1" activeTab="9"/>
  </bookViews>
  <sheets>
    <sheet name="تعليمات" sheetId="1" r:id="rId1"/>
    <sheet name="متابعة المراحل" sheetId="2" r:id="rId2"/>
    <sheet name="المساطر" sheetId="3" r:id="rId3"/>
    <sheet name="اختبارات ابتدائي بنين" sheetId="4" r:id="rId4"/>
    <sheet name="اختبارات إعدادي بنين" sheetId="5" r:id="rId5"/>
    <sheet name="اختبارات ثانوي بنين" sheetId="6" r:id="rId6"/>
    <sheet name="اختبارات ابتدائي بنات" sheetId="7" r:id="rId7"/>
    <sheet name="اختبارات إعدادي بنات" sheetId="8" r:id="rId8"/>
    <sheet name="سجل المنتخبات" sheetId="9" r:id="rId9"/>
    <sheet name="الكشف الطبي" sheetId="10" r:id="rId10"/>
    <sheet name="لجنة التحكيم" sheetId="11" r:id="rId11"/>
    <sheet name="بطاقة متابعة الطالب" sheetId="12" r:id="rId12"/>
    <sheet name="سجل التدريب" sheetId="13" r:id="rId13"/>
    <sheet name="اكتشاف الموهوبين" sheetId="14" r:id="rId14"/>
    <sheet name="التقييم الذاتي" sheetId="15" r:id="rId15"/>
    <sheet name="الزيارات الميدانية" sheetId="16" r:id="rId16"/>
    <sheet name="متابعة المعاهد (إدارة)" sheetId="17" r:id="rId17"/>
    <sheet name="متابعة الإدارات (منطقة)" sheetId="18" r:id="rId18"/>
    <sheet name="مؤشرات الأداء" sheetId="19" r:id="rId19"/>
  </sheets>
  <calcPr calcId="1445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19" l="1"/>
  <c r="I12" i="19" s="1"/>
  <c r="G11" i="19"/>
  <c r="I11" i="19" s="1"/>
  <c r="I9" i="19"/>
  <c r="G9" i="19"/>
  <c r="I8" i="19"/>
  <c r="G8" i="19"/>
  <c r="I7" i="19"/>
  <c r="G7" i="19"/>
  <c r="I5" i="19"/>
  <c r="G5" i="19"/>
  <c r="L30" i="18"/>
  <c r="E10" i="19" s="1"/>
  <c r="G10" i="19" s="1"/>
  <c r="I10" i="19" s="1"/>
  <c r="K30" i="18"/>
  <c r="J30" i="18"/>
  <c r="I30" i="18"/>
  <c r="G30" i="18"/>
  <c r="E6" i="19" s="1"/>
  <c r="F30" i="18"/>
  <c r="F6" i="19" s="1"/>
  <c r="D30" i="18"/>
  <c r="E4" i="19" s="1"/>
  <c r="G4" i="19" s="1"/>
  <c r="I4" i="19" s="1"/>
  <c r="C30" i="18"/>
  <c r="F4" i="19" s="1"/>
  <c r="H29" i="18"/>
  <c r="E29" i="18"/>
  <c r="H28" i="18"/>
  <c r="E28" i="18"/>
  <c r="H27" i="18"/>
  <c r="E27" i="18"/>
  <c r="H26" i="18"/>
  <c r="E26" i="18"/>
  <c r="H25" i="18"/>
  <c r="E25" i="18"/>
  <c r="H24" i="18"/>
  <c r="E24" i="18"/>
  <c r="H23" i="18"/>
  <c r="E23" i="18"/>
  <c r="H22" i="18"/>
  <c r="E22" i="18"/>
  <c r="H21" i="18"/>
  <c r="E21" i="18"/>
  <c r="H20" i="18"/>
  <c r="E20" i="18"/>
  <c r="H19" i="18"/>
  <c r="E19" i="18"/>
  <c r="H18" i="18"/>
  <c r="E18" i="18"/>
  <c r="H17" i="18"/>
  <c r="E17" i="18"/>
  <c r="H16" i="18"/>
  <c r="E16" i="18"/>
  <c r="H15" i="18"/>
  <c r="E15" i="18"/>
  <c r="H14" i="18"/>
  <c r="E14" i="18"/>
  <c r="H13" i="18"/>
  <c r="E13" i="18"/>
  <c r="H12" i="18"/>
  <c r="E12" i="18"/>
  <c r="H11" i="18"/>
  <c r="E11" i="18"/>
  <c r="H10" i="18"/>
  <c r="E10" i="18"/>
  <c r="H9" i="18"/>
  <c r="E9" i="18"/>
  <c r="H8" i="18"/>
  <c r="E8" i="18"/>
  <c r="H7" i="18"/>
  <c r="E7" i="18"/>
  <c r="H6" i="18"/>
  <c r="E6" i="18"/>
  <c r="H5" i="18"/>
  <c r="E5" i="18"/>
  <c r="H4" i="18"/>
  <c r="E4" i="18"/>
  <c r="M45" i="17"/>
  <c r="L45" i="17"/>
  <c r="J45" i="17"/>
  <c r="H45" i="17"/>
  <c r="G45" i="17"/>
  <c r="F45" i="17"/>
  <c r="E45" i="17"/>
  <c r="D45" i="17"/>
  <c r="K44" i="17"/>
  <c r="G44" i="17"/>
  <c r="K43" i="17"/>
  <c r="G43" i="17"/>
  <c r="K42" i="17"/>
  <c r="G42" i="17"/>
  <c r="K41" i="17"/>
  <c r="G41" i="17"/>
  <c r="K40" i="17"/>
  <c r="G40" i="17"/>
  <c r="K39" i="17"/>
  <c r="G39" i="17"/>
  <c r="K38" i="17"/>
  <c r="G38" i="17"/>
  <c r="K37" i="17"/>
  <c r="G37" i="17"/>
  <c r="K36" i="17"/>
  <c r="G36" i="17"/>
  <c r="K35" i="17"/>
  <c r="G35" i="17"/>
  <c r="K34" i="17"/>
  <c r="G34" i="17"/>
  <c r="K33" i="17"/>
  <c r="G33" i="17"/>
  <c r="K32" i="17"/>
  <c r="G32" i="17"/>
  <c r="K31" i="17"/>
  <c r="G31" i="17"/>
  <c r="K30" i="17"/>
  <c r="G30" i="17"/>
  <c r="K29" i="17"/>
  <c r="G29" i="17"/>
  <c r="K28" i="17"/>
  <c r="G28" i="17"/>
  <c r="K27" i="17"/>
  <c r="G27" i="17"/>
  <c r="K26" i="17"/>
  <c r="G26" i="17"/>
  <c r="K25" i="17"/>
  <c r="G25" i="17"/>
  <c r="K24" i="17"/>
  <c r="G24" i="17"/>
  <c r="K23" i="17"/>
  <c r="G23" i="17"/>
  <c r="K22" i="17"/>
  <c r="G22" i="17"/>
  <c r="K21" i="17"/>
  <c r="G21" i="17"/>
  <c r="K20" i="17"/>
  <c r="G20" i="17"/>
  <c r="K19" i="17"/>
  <c r="G19" i="17"/>
  <c r="K18" i="17"/>
  <c r="G18" i="17"/>
  <c r="K17" i="17"/>
  <c r="G17" i="17"/>
  <c r="K16" i="17"/>
  <c r="G16" i="17"/>
  <c r="K15" i="17"/>
  <c r="G15" i="17"/>
  <c r="K14" i="17"/>
  <c r="G14" i="17"/>
  <c r="K13" i="17"/>
  <c r="G13" i="17"/>
  <c r="K12" i="17"/>
  <c r="G12" i="17"/>
  <c r="K11" i="17"/>
  <c r="G11" i="17"/>
  <c r="K10" i="17"/>
  <c r="G10" i="17"/>
  <c r="K9" i="17"/>
  <c r="G9" i="17"/>
  <c r="K8" i="17"/>
  <c r="G8" i="17"/>
  <c r="K7" i="17"/>
  <c r="G7" i="17"/>
  <c r="K6" i="17"/>
  <c r="G6" i="17"/>
  <c r="K5" i="17"/>
  <c r="G5" i="17"/>
  <c r="K4" i="17"/>
  <c r="G4" i="17"/>
  <c r="B65" i="16"/>
  <c r="C20" i="15"/>
  <c r="C21" i="15" s="1"/>
  <c r="C17" i="15"/>
  <c r="B45" i="14"/>
  <c r="I65" i="13"/>
  <c r="J65" i="13" s="1"/>
  <c r="H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M55" i="12"/>
  <c r="L55" i="12"/>
  <c r="E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55" i="12" s="1"/>
  <c r="J4" i="12"/>
  <c r="X45" i="8"/>
  <c r="Y45" i="8" s="1"/>
  <c r="U45" i="8"/>
  <c r="T45" i="8"/>
  <c r="O45" i="8"/>
  <c r="P45" i="8" s="1"/>
  <c r="L45" i="8"/>
  <c r="K45" i="8"/>
  <c r="G45" i="8"/>
  <c r="X44" i="8"/>
  <c r="Y44" i="8" s="1"/>
  <c r="T44" i="8"/>
  <c r="U44" i="8" s="1"/>
  <c r="O44" i="8"/>
  <c r="P44" i="8" s="1"/>
  <c r="K44" i="8"/>
  <c r="L44" i="8" s="1"/>
  <c r="G44" i="8"/>
  <c r="AC44" i="8" s="1"/>
  <c r="Y43" i="8"/>
  <c r="X43" i="8"/>
  <c r="T43" i="8"/>
  <c r="U43" i="8" s="1"/>
  <c r="P43" i="8"/>
  <c r="O43" i="8"/>
  <c r="K43" i="8"/>
  <c r="L43" i="8" s="1"/>
  <c r="H43" i="8"/>
  <c r="G43" i="8"/>
  <c r="AC42" i="8"/>
  <c r="X42" i="8"/>
  <c r="Y42" i="8" s="1"/>
  <c r="T42" i="8"/>
  <c r="U42" i="8" s="1"/>
  <c r="P42" i="8"/>
  <c r="O42" i="8"/>
  <c r="K42" i="8"/>
  <c r="L42" i="8" s="1"/>
  <c r="H42" i="8"/>
  <c r="G42" i="8"/>
  <c r="X41" i="8"/>
  <c r="Y41" i="8" s="1"/>
  <c r="U41" i="8"/>
  <c r="T41" i="8"/>
  <c r="O41" i="8"/>
  <c r="P41" i="8" s="1"/>
  <c r="L41" i="8"/>
  <c r="K41" i="8"/>
  <c r="G41" i="8"/>
  <c r="X40" i="8"/>
  <c r="Y40" i="8" s="1"/>
  <c r="T40" i="8"/>
  <c r="U40" i="8" s="1"/>
  <c r="O40" i="8"/>
  <c r="P40" i="8" s="1"/>
  <c r="K40" i="8"/>
  <c r="L40" i="8" s="1"/>
  <c r="G40" i="8"/>
  <c r="AC40" i="8" s="1"/>
  <c r="Y39" i="8"/>
  <c r="X39" i="8"/>
  <c r="T39" i="8"/>
  <c r="U39" i="8" s="1"/>
  <c r="P39" i="8"/>
  <c r="O39" i="8"/>
  <c r="K39" i="8"/>
  <c r="L39" i="8" s="1"/>
  <c r="H39" i="8"/>
  <c r="G39" i="8"/>
  <c r="AC38" i="8"/>
  <c r="X38" i="8"/>
  <c r="Y38" i="8" s="1"/>
  <c r="T38" i="8"/>
  <c r="U38" i="8" s="1"/>
  <c r="P38" i="8"/>
  <c r="O38" i="8"/>
  <c r="K38" i="8"/>
  <c r="L38" i="8" s="1"/>
  <c r="H38" i="8"/>
  <c r="Z38" i="8" s="1"/>
  <c r="G38" i="8"/>
  <c r="X37" i="8"/>
  <c r="Y37" i="8" s="1"/>
  <c r="U37" i="8"/>
  <c r="T37" i="8"/>
  <c r="O37" i="8"/>
  <c r="P37" i="8" s="1"/>
  <c r="L37" i="8"/>
  <c r="K37" i="8"/>
  <c r="G37" i="8"/>
  <c r="X36" i="8"/>
  <c r="Y36" i="8" s="1"/>
  <c r="T36" i="8"/>
  <c r="U36" i="8" s="1"/>
  <c r="O36" i="8"/>
  <c r="P36" i="8" s="1"/>
  <c r="K36" i="8"/>
  <c r="L36" i="8" s="1"/>
  <c r="G36" i="8"/>
  <c r="AC36" i="8" s="1"/>
  <c r="Y35" i="8"/>
  <c r="X35" i="8"/>
  <c r="T35" i="8"/>
  <c r="U35" i="8" s="1"/>
  <c r="P35" i="8"/>
  <c r="O35" i="8"/>
  <c r="K35" i="8"/>
  <c r="L35" i="8" s="1"/>
  <c r="H35" i="8"/>
  <c r="G35" i="8"/>
  <c r="AC34" i="8"/>
  <c r="X34" i="8"/>
  <c r="Y34" i="8" s="1"/>
  <c r="T34" i="8"/>
  <c r="U34" i="8" s="1"/>
  <c r="P34" i="8"/>
  <c r="O34" i="8"/>
  <c r="K34" i="8"/>
  <c r="L34" i="8" s="1"/>
  <c r="H34" i="8"/>
  <c r="G34" i="8"/>
  <c r="X33" i="8"/>
  <c r="Y33" i="8" s="1"/>
  <c r="U33" i="8"/>
  <c r="T33" i="8"/>
  <c r="O33" i="8"/>
  <c r="P33" i="8" s="1"/>
  <c r="L33" i="8"/>
  <c r="K33" i="8"/>
  <c r="G33" i="8"/>
  <c r="X32" i="8"/>
  <c r="Y32" i="8" s="1"/>
  <c r="T32" i="8"/>
  <c r="U32" i="8" s="1"/>
  <c r="O32" i="8"/>
  <c r="P32" i="8" s="1"/>
  <c r="K32" i="8"/>
  <c r="L32" i="8" s="1"/>
  <c r="G32" i="8"/>
  <c r="AC32" i="8" s="1"/>
  <c r="Y31" i="8"/>
  <c r="X31" i="8"/>
  <c r="T31" i="8"/>
  <c r="U31" i="8" s="1"/>
  <c r="P31" i="8"/>
  <c r="O31" i="8"/>
  <c r="K31" i="8"/>
  <c r="H31" i="8"/>
  <c r="G31" i="8"/>
  <c r="X30" i="8"/>
  <c r="Y30" i="8" s="1"/>
  <c r="T30" i="8"/>
  <c r="U30" i="8" s="1"/>
  <c r="O30" i="8"/>
  <c r="P30" i="8" s="1"/>
  <c r="K30" i="8"/>
  <c r="L30" i="8" s="1"/>
  <c r="H30" i="8"/>
  <c r="G30" i="8"/>
  <c r="X29" i="8"/>
  <c r="Y29" i="8" s="1"/>
  <c r="U29" i="8"/>
  <c r="T29" i="8"/>
  <c r="O29" i="8"/>
  <c r="P29" i="8" s="1"/>
  <c r="L29" i="8"/>
  <c r="K29" i="8"/>
  <c r="G29" i="8"/>
  <c r="H29" i="8" s="1"/>
  <c r="X28" i="8"/>
  <c r="Y28" i="8" s="1"/>
  <c r="U28" i="8"/>
  <c r="T28" i="8"/>
  <c r="O28" i="8"/>
  <c r="P28" i="8" s="1"/>
  <c r="L28" i="8"/>
  <c r="K28" i="8"/>
  <c r="G28" i="8"/>
  <c r="AC27" i="8"/>
  <c r="Y27" i="8"/>
  <c r="X27" i="8"/>
  <c r="U27" i="8"/>
  <c r="T27" i="8"/>
  <c r="P27" i="8"/>
  <c r="O27" i="8"/>
  <c r="L27" i="8"/>
  <c r="K27" i="8"/>
  <c r="H27" i="8"/>
  <c r="G27" i="8"/>
  <c r="Y26" i="8"/>
  <c r="X26" i="8"/>
  <c r="T26" i="8"/>
  <c r="U26" i="8" s="1"/>
  <c r="P26" i="8"/>
  <c r="O26" i="8"/>
  <c r="K26" i="8"/>
  <c r="L26" i="8" s="1"/>
  <c r="G26" i="8"/>
  <c r="Y25" i="8"/>
  <c r="X25" i="8"/>
  <c r="U25" i="8"/>
  <c r="T25" i="8"/>
  <c r="P25" i="8"/>
  <c r="O25" i="8"/>
  <c r="L25" i="8"/>
  <c r="K25" i="8"/>
  <c r="H25" i="8"/>
  <c r="G25" i="8"/>
  <c r="AC25" i="8" s="1"/>
  <c r="X24" i="8"/>
  <c r="Y24" i="8" s="1"/>
  <c r="T24" i="8"/>
  <c r="U24" i="8" s="1"/>
  <c r="O24" i="8"/>
  <c r="P24" i="8" s="1"/>
  <c r="K24" i="8"/>
  <c r="L24" i="8" s="1"/>
  <c r="G24" i="8"/>
  <c r="Y23" i="8"/>
  <c r="X23" i="8"/>
  <c r="T23" i="8"/>
  <c r="U23" i="8" s="1"/>
  <c r="P23" i="8"/>
  <c r="O23" i="8"/>
  <c r="K23" i="8"/>
  <c r="H23" i="8"/>
  <c r="G23" i="8"/>
  <c r="X22" i="8"/>
  <c r="Y22" i="8" s="1"/>
  <c r="T22" i="8"/>
  <c r="U22" i="8" s="1"/>
  <c r="O22" i="8"/>
  <c r="P22" i="8" s="1"/>
  <c r="K22" i="8"/>
  <c r="L22" i="8" s="1"/>
  <c r="H22" i="8"/>
  <c r="G22" i="8"/>
  <c r="X21" i="8"/>
  <c r="Y21" i="8" s="1"/>
  <c r="U21" i="8"/>
  <c r="T21" i="8"/>
  <c r="O21" i="8"/>
  <c r="P21" i="8" s="1"/>
  <c r="L21" i="8"/>
  <c r="K21" i="8"/>
  <c r="G21" i="8"/>
  <c r="H21" i="8" s="1"/>
  <c r="X20" i="8"/>
  <c r="Y20" i="8" s="1"/>
  <c r="U20" i="8"/>
  <c r="T20" i="8"/>
  <c r="O20" i="8"/>
  <c r="P20" i="8" s="1"/>
  <c r="L20" i="8"/>
  <c r="K20" i="8"/>
  <c r="G20" i="8"/>
  <c r="AC19" i="8"/>
  <c r="Y19" i="8"/>
  <c r="X19" i="8"/>
  <c r="U19" i="8"/>
  <c r="T19" i="8"/>
  <c r="P19" i="8"/>
  <c r="O19" i="8"/>
  <c r="L19" i="8"/>
  <c r="K19" i="8"/>
  <c r="H19" i="8"/>
  <c r="G19" i="8"/>
  <c r="Y18" i="8"/>
  <c r="X18" i="8"/>
  <c r="T18" i="8"/>
  <c r="U18" i="8" s="1"/>
  <c r="P18" i="8"/>
  <c r="O18" i="8"/>
  <c r="K18" i="8"/>
  <c r="L18" i="8" s="1"/>
  <c r="G18" i="8"/>
  <c r="Y17" i="8"/>
  <c r="X17" i="8"/>
  <c r="U17" i="8"/>
  <c r="T17" i="8"/>
  <c r="P17" i="8"/>
  <c r="O17" i="8"/>
  <c r="L17" i="8"/>
  <c r="K17" i="8"/>
  <c r="H17" i="8"/>
  <c r="G17" i="8"/>
  <c r="AC17" i="8" s="1"/>
  <c r="X16" i="8"/>
  <c r="Y16" i="8" s="1"/>
  <c r="T16" i="8"/>
  <c r="U16" i="8" s="1"/>
  <c r="O16" i="8"/>
  <c r="P16" i="8" s="1"/>
  <c r="K16" i="8"/>
  <c r="L16" i="8" s="1"/>
  <c r="G16" i="8"/>
  <c r="Y15" i="8"/>
  <c r="X15" i="8"/>
  <c r="T15" i="8"/>
  <c r="U15" i="8" s="1"/>
  <c r="P15" i="8"/>
  <c r="O15" i="8"/>
  <c r="K15" i="8"/>
  <c r="H15" i="8"/>
  <c r="G15" i="8"/>
  <c r="X14" i="8"/>
  <c r="Y14" i="8" s="1"/>
  <c r="T14" i="8"/>
  <c r="U14" i="8" s="1"/>
  <c r="O14" i="8"/>
  <c r="P14" i="8" s="1"/>
  <c r="K14" i="8"/>
  <c r="L14" i="8" s="1"/>
  <c r="H14" i="8"/>
  <c r="G14" i="8"/>
  <c r="X13" i="8"/>
  <c r="Y13" i="8" s="1"/>
  <c r="U13" i="8"/>
  <c r="T13" i="8"/>
  <c r="O13" i="8"/>
  <c r="P13" i="8" s="1"/>
  <c r="K13" i="8"/>
  <c r="L13" i="8" s="1"/>
  <c r="G13" i="8"/>
  <c r="H13" i="8" s="1"/>
  <c r="Y12" i="8"/>
  <c r="X12" i="8"/>
  <c r="T12" i="8"/>
  <c r="U12" i="8" s="1"/>
  <c r="P12" i="8"/>
  <c r="O12" i="8"/>
  <c r="K12" i="8"/>
  <c r="L12" i="8" s="1"/>
  <c r="H12" i="8"/>
  <c r="G12" i="8"/>
  <c r="X11" i="8"/>
  <c r="Y11" i="8" s="1"/>
  <c r="T11" i="8"/>
  <c r="U11" i="8" s="1"/>
  <c r="P11" i="8"/>
  <c r="O11" i="8"/>
  <c r="K11" i="8"/>
  <c r="L11" i="8" s="1"/>
  <c r="G11" i="8"/>
  <c r="X10" i="8"/>
  <c r="Y10" i="8" s="1"/>
  <c r="U10" i="8"/>
  <c r="T10" i="8"/>
  <c r="O10" i="8"/>
  <c r="P10" i="8" s="1"/>
  <c r="L10" i="8"/>
  <c r="K10" i="8"/>
  <c r="G10" i="8"/>
  <c r="X9" i="8"/>
  <c r="Y9" i="8" s="1"/>
  <c r="U9" i="8"/>
  <c r="T9" i="8"/>
  <c r="O9" i="8"/>
  <c r="P9" i="8" s="1"/>
  <c r="K9" i="8"/>
  <c r="L9" i="8" s="1"/>
  <c r="G9" i="8"/>
  <c r="Y8" i="8"/>
  <c r="X8" i="8"/>
  <c r="T8" i="8"/>
  <c r="U8" i="8" s="1"/>
  <c r="P8" i="8"/>
  <c r="O8" i="8"/>
  <c r="K8" i="8"/>
  <c r="H8" i="8"/>
  <c r="G8" i="8"/>
  <c r="X7" i="8"/>
  <c r="Y7" i="8" s="1"/>
  <c r="T7" i="8"/>
  <c r="U7" i="8" s="1"/>
  <c r="P7" i="8"/>
  <c r="O7" i="8"/>
  <c r="K7" i="8"/>
  <c r="L7" i="8" s="1"/>
  <c r="G7" i="8"/>
  <c r="X6" i="8"/>
  <c r="Y6" i="8" s="1"/>
  <c r="U6" i="8"/>
  <c r="T6" i="8"/>
  <c r="O6" i="8"/>
  <c r="P6" i="8" s="1"/>
  <c r="L6" i="8"/>
  <c r="K6" i="8"/>
  <c r="G6" i="8"/>
  <c r="X5" i="8"/>
  <c r="Y5" i="8" s="1"/>
  <c r="U5" i="8"/>
  <c r="T5" i="8"/>
  <c r="O5" i="8"/>
  <c r="P5" i="8" s="1"/>
  <c r="K5" i="8"/>
  <c r="L5" i="8" s="1"/>
  <c r="G5" i="8"/>
  <c r="X45" i="7"/>
  <c r="W45" i="7"/>
  <c r="S45" i="7"/>
  <c r="T45" i="7" s="1"/>
  <c r="P45" i="7"/>
  <c r="O45" i="7"/>
  <c r="K45" i="7"/>
  <c r="AB45" i="7" s="1"/>
  <c r="H45" i="7"/>
  <c r="G45" i="7"/>
  <c r="X44" i="7"/>
  <c r="W44" i="7"/>
  <c r="S44" i="7"/>
  <c r="T44" i="7" s="1"/>
  <c r="P44" i="7"/>
  <c r="O44" i="7"/>
  <c r="K44" i="7"/>
  <c r="L44" i="7" s="1"/>
  <c r="G44" i="7"/>
  <c r="H44" i="7" s="1"/>
  <c r="AB43" i="7"/>
  <c r="W43" i="7"/>
  <c r="X43" i="7" s="1"/>
  <c r="T43" i="7"/>
  <c r="S43" i="7"/>
  <c r="O43" i="7"/>
  <c r="P43" i="7" s="1"/>
  <c r="L43" i="7"/>
  <c r="K43" i="7"/>
  <c r="G43" i="7"/>
  <c r="H43" i="7" s="1"/>
  <c r="W42" i="7"/>
  <c r="X42" i="7" s="1"/>
  <c r="S42" i="7"/>
  <c r="T42" i="7" s="1"/>
  <c r="O42" i="7"/>
  <c r="P42" i="7" s="1"/>
  <c r="L42" i="7"/>
  <c r="K42" i="7"/>
  <c r="G42" i="7"/>
  <c r="X41" i="7"/>
  <c r="W41" i="7"/>
  <c r="S41" i="7"/>
  <c r="T41" i="7" s="1"/>
  <c r="P41" i="7"/>
  <c r="O41" i="7"/>
  <c r="K41" i="7"/>
  <c r="H41" i="7"/>
  <c r="G41" i="7"/>
  <c r="W40" i="7"/>
  <c r="X40" i="7" s="1"/>
  <c r="S40" i="7"/>
  <c r="T40" i="7" s="1"/>
  <c r="P40" i="7"/>
  <c r="O40" i="7"/>
  <c r="K40" i="7"/>
  <c r="L40" i="7" s="1"/>
  <c r="G40" i="7"/>
  <c r="H40" i="7" s="1"/>
  <c r="Y40" i="7" s="1"/>
  <c r="X39" i="7"/>
  <c r="W39" i="7"/>
  <c r="T39" i="7"/>
  <c r="S39" i="7"/>
  <c r="P39" i="7"/>
  <c r="O39" i="7"/>
  <c r="L39" i="7"/>
  <c r="K39" i="7"/>
  <c r="H39" i="7"/>
  <c r="G39" i="7"/>
  <c r="AB39" i="7" s="1"/>
  <c r="W38" i="7"/>
  <c r="X38" i="7" s="1"/>
  <c r="S38" i="7"/>
  <c r="T38" i="7" s="1"/>
  <c r="O38" i="7"/>
  <c r="P38" i="7" s="1"/>
  <c r="L38" i="7"/>
  <c r="K38" i="7"/>
  <c r="H38" i="7"/>
  <c r="G38" i="7"/>
  <c r="X37" i="7"/>
  <c r="W37" i="7"/>
  <c r="S37" i="7"/>
  <c r="T37" i="7" s="1"/>
  <c r="O37" i="7"/>
  <c r="P37" i="7" s="1"/>
  <c r="K37" i="7"/>
  <c r="L37" i="7" s="1"/>
  <c r="G37" i="7"/>
  <c r="AB36" i="7"/>
  <c r="X36" i="7"/>
  <c r="W36" i="7"/>
  <c r="T36" i="7"/>
  <c r="S36" i="7"/>
  <c r="P36" i="7"/>
  <c r="O36" i="7"/>
  <c r="L36" i="7"/>
  <c r="K36" i="7"/>
  <c r="H36" i="7"/>
  <c r="G36" i="7"/>
  <c r="W35" i="7"/>
  <c r="X35" i="7" s="1"/>
  <c r="S35" i="7"/>
  <c r="T35" i="7" s="1"/>
  <c r="O35" i="7"/>
  <c r="P35" i="7" s="1"/>
  <c r="K35" i="7"/>
  <c r="L35" i="7" s="1"/>
  <c r="G35" i="7"/>
  <c r="X34" i="7"/>
  <c r="W34" i="7"/>
  <c r="S34" i="7"/>
  <c r="T34" i="7" s="1"/>
  <c r="P34" i="7"/>
  <c r="O34" i="7"/>
  <c r="K34" i="7"/>
  <c r="H34" i="7"/>
  <c r="G34" i="7"/>
  <c r="W33" i="7"/>
  <c r="X33" i="7" s="1"/>
  <c r="S33" i="7"/>
  <c r="T33" i="7" s="1"/>
  <c r="O33" i="7"/>
  <c r="P33" i="7" s="1"/>
  <c r="K33" i="7"/>
  <c r="H33" i="7"/>
  <c r="G33" i="7"/>
  <c r="W32" i="7"/>
  <c r="X32" i="7" s="1"/>
  <c r="T32" i="7"/>
  <c r="S32" i="7"/>
  <c r="O32" i="7"/>
  <c r="P32" i="7" s="1"/>
  <c r="L32" i="7"/>
  <c r="K32" i="7"/>
  <c r="G32" i="7"/>
  <c r="H32" i="7" s="1"/>
  <c r="W31" i="7"/>
  <c r="X31" i="7" s="1"/>
  <c r="T31" i="7"/>
  <c r="S31" i="7"/>
  <c r="O31" i="7"/>
  <c r="P31" i="7" s="1"/>
  <c r="K31" i="7"/>
  <c r="L31" i="7" s="1"/>
  <c r="G31" i="7"/>
  <c r="AB30" i="7"/>
  <c r="X30" i="7"/>
  <c r="W30" i="7"/>
  <c r="T30" i="7"/>
  <c r="S30" i="7"/>
  <c r="P30" i="7"/>
  <c r="O30" i="7"/>
  <c r="L30" i="7"/>
  <c r="K30" i="7"/>
  <c r="H30" i="7"/>
  <c r="G30" i="7"/>
  <c r="X29" i="7"/>
  <c r="W29" i="7"/>
  <c r="S29" i="7"/>
  <c r="T29" i="7" s="1"/>
  <c r="O29" i="7"/>
  <c r="P29" i="7" s="1"/>
  <c r="K29" i="7"/>
  <c r="L29" i="7" s="1"/>
  <c r="G29" i="7"/>
  <c r="W28" i="7"/>
  <c r="X28" i="7" s="1"/>
  <c r="T28" i="7"/>
  <c r="S28" i="7"/>
  <c r="O28" i="7"/>
  <c r="P28" i="7" s="1"/>
  <c r="L28" i="7"/>
  <c r="K28" i="7"/>
  <c r="G28" i="7"/>
  <c r="W27" i="7"/>
  <c r="X27" i="7" s="1"/>
  <c r="S27" i="7"/>
  <c r="T27" i="7" s="1"/>
  <c r="O27" i="7"/>
  <c r="P27" i="7" s="1"/>
  <c r="K27" i="7"/>
  <c r="L27" i="7" s="1"/>
  <c r="G27" i="7"/>
  <c r="X26" i="7"/>
  <c r="W26" i="7"/>
  <c r="S26" i="7"/>
  <c r="T26" i="7" s="1"/>
  <c r="P26" i="7"/>
  <c r="O26" i="7"/>
  <c r="K26" i="7"/>
  <c r="H26" i="7"/>
  <c r="G26" i="7"/>
  <c r="W25" i="7"/>
  <c r="X25" i="7" s="1"/>
  <c r="S25" i="7"/>
  <c r="T25" i="7" s="1"/>
  <c r="O25" i="7"/>
  <c r="P25" i="7" s="1"/>
  <c r="K25" i="7"/>
  <c r="L25" i="7" s="1"/>
  <c r="H25" i="7"/>
  <c r="G25" i="7"/>
  <c r="W24" i="7"/>
  <c r="X24" i="7" s="1"/>
  <c r="T24" i="7"/>
  <c r="S24" i="7"/>
  <c r="O24" i="7"/>
  <c r="P24" i="7" s="1"/>
  <c r="L24" i="7"/>
  <c r="K24" i="7"/>
  <c r="G24" i="7"/>
  <c r="H24" i="7" s="1"/>
  <c r="W23" i="7"/>
  <c r="X23" i="7" s="1"/>
  <c r="T23" i="7"/>
  <c r="S23" i="7"/>
  <c r="O23" i="7"/>
  <c r="P23" i="7" s="1"/>
  <c r="L23" i="7"/>
  <c r="K23" i="7"/>
  <c r="G23" i="7"/>
  <c r="AB22" i="7"/>
  <c r="X22" i="7"/>
  <c r="W22" i="7"/>
  <c r="T22" i="7"/>
  <c r="S22" i="7"/>
  <c r="P22" i="7"/>
  <c r="O22" i="7"/>
  <c r="L22" i="7"/>
  <c r="K22" i="7"/>
  <c r="H22" i="7"/>
  <c r="G22" i="7"/>
  <c r="X21" i="7"/>
  <c r="W21" i="7"/>
  <c r="S21" i="7"/>
  <c r="T21" i="7" s="1"/>
  <c r="P21" i="7"/>
  <c r="O21" i="7"/>
  <c r="K21" i="7"/>
  <c r="L21" i="7" s="1"/>
  <c r="G21" i="7"/>
  <c r="W20" i="7"/>
  <c r="X20" i="7" s="1"/>
  <c r="T20" i="7"/>
  <c r="S20" i="7"/>
  <c r="O20" i="7"/>
  <c r="P20" i="7" s="1"/>
  <c r="L20" i="7"/>
  <c r="K20" i="7"/>
  <c r="G20" i="7"/>
  <c r="AB20" i="7" s="1"/>
  <c r="W19" i="7"/>
  <c r="X19" i="7" s="1"/>
  <c r="S19" i="7"/>
  <c r="T19" i="7" s="1"/>
  <c r="O19" i="7"/>
  <c r="P19" i="7" s="1"/>
  <c r="K19" i="7"/>
  <c r="L19" i="7" s="1"/>
  <c r="G19" i="7"/>
  <c r="X18" i="7"/>
  <c r="W18" i="7"/>
  <c r="S18" i="7"/>
  <c r="T18" i="7" s="1"/>
  <c r="P18" i="7"/>
  <c r="O18" i="7"/>
  <c r="K18" i="7"/>
  <c r="H18" i="7"/>
  <c r="G18" i="7"/>
  <c r="AB17" i="7"/>
  <c r="W17" i="7"/>
  <c r="X17" i="7" s="1"/>
  <c r="S17" i="7"/>
  <c r="T17" i="7" s="1"/>
  <c r="O17" i="7"/>
  <c r="P17" i="7" s="1"/>
  <c r="K17" i="7"/>
  <c r="L17" i="7" s="1"/>
  <c r="H17" i="7"/>
  <c r="G17" i="7"/>
  <c r="W16" i="7"/>
  <c r="X16" i="7" s="1"/>
  <c r="T16" i="7"/>
  <c r="S16" i="7"/>
  <c r="O16" i="7"/>
  <c r="P16" i="7" s="1"/>
  <c r="L16" i="7"/>
  <c r="K16" i="7"/>
  <c r="G16" i="7"/>
  <c r="W15" i="7"/>
  <c r="X15" i="7" s="1"/>
  <c r="S15" i="7"/>
  <c r="T15" i="7" s="1"/>
  <c r="O15" i="7"/>
  <c r="P15" i="7" s="1"/>
  <c r="L15" i="7"/>
  <c r="K15" i="7"/>
  <c r="G15" i="7"/>
  <c r="AB15" i="7" s="1"/>
  <c r="X14" i="7"/>
  <c r="W14" i="7"/>
  <c r="S14" i="7"/>
  <c r="T14" i="7" s="1"/>
  <c r="P14" i="7"/>
  <c r="O14" i="7"/>
  <c r="K14" i="7"/>
  <c r="H14" i="7"/>
  <c r="G14" i="7"/>
  <c r="X13" i="7"/>
  <c r="W13" i="7"/>
  <c r="S13" i="7"/>
  <c r="T13" i="7" s="1"/>
  <c r="P13" i="7"/>
  <c r="O13" i="7"/>
  <c r="K13" i="7"/>
  <c r="L13" i="7" s="1"/>
  <c r="G13" i="7"/>
  <c r="X12" i="7"/>
  <c r="W12" i="7"/>
  <c r="T12" i="7"/>
  <c r="S12" i="7"/>
  <c r="P12" i="7"/>
  <c r="O12" i="7"/>
  <c r="L12" i="7"/>
  <c r="K12" i="7"/>
  <c r="H12" i="7"/>
  <c r="G12" i="7"/>
  <c r="AB12" i="7" s="1"/>
  <c r="W11" i="7"/>
  <c r="X11" i="7" s="1"/>
  <c r="S11" i="7"/>
  <c r="T11" i="7" s="1"/>
  <c r="O11" i="7"/>
  <c r="P11" i="7" s="1"/>
  <c r="K11" i="7"/>
  <c r="L11" i="7" s="1"/>
  <c r="G11" i="7"/>
  <c r="X10" i="7"/>
  <c r="W10" i="7"/>
  <c r="S10" i="7"/>
  <c r="T10" i="7" s="1"/>
  <c r="P10" i="7"/>
  <c r="O10" i="7"/>
  <c r="K10" i="7"/>
  <c r="H10" i="7"/>
  <c r="G10" i="7"/>
  <c r="W9" i="7"/>
  <c r="X9" i="7" s="1"/>
  <c r="S9" i="7"/>
  <c r="T9" i="7" s="1"/>
  <c r="O9" i="7"/>
  <c r="P9" i="7" s="1"/>
  <c r="K9" i="7"/>
  <c r="L9" i="7" s="1"/>
  <c r="H9" i="7"/>
  <c r="G9" i="7"/>
  <c r="W8" i="7"/>
  <c r="X8" i="7" s="1"/>
  <c r="T8" i="7"/>
  <c r="S8" i="7"/>
  <c r="O8" i="7"/>
  <c r="P8" i="7" s="1"/>
  <c r="L8" i="7"/>
  <c r="K8" i="7"/>
  <c r="G8" i="7"/>
  <c r="H8" i="7" s="1"/>
  <c r="W7" i="7"/>
  <c r="X7" i="7" s="1"/>
  <c r="T7" i="7"/>
  <c r="S7" i="7"/>
  <c r="O7" i="7"/>
  <c r="P7" i="7" s="1"/>
  <c r="L7" i="7"/>
  <c r="K7" i="7"/>
  <c r="G7" i="7"/>
  <c r="AB6" i="7"/>
  <c r="X6" i="7"/>
  <c r="W6" i="7"/>
  <c r="S6" i="7"/>
  <c r="T6" i="7" s="1"/>
  <c r="P6" i="7"/>
  <c r="O6" i="7"/>
  <c r="L6" i="7"/>
  <c r="K6" i="7"/>
  <c r="H6" i="7"/>
  <c r="G6" i="7"/>
  <c r="X5" i="7"/>
  <c r="W5" i="7"/>
  <c r="S5" i="7"/>
  <c r="T5" i="7" s="1"/>
  <c r="P5" i="7"/>
  <c r="O5" i="7"/>
  <c r="K5" i="7"/>
  <c r="L5" i="7" s="1"/>
  <c r="G5" i="7"/>
  <c r="X45" i="6"/>
  <c r="W45" i="6"/>
  <c r="T45" i="6"/>
  <c r="S45" i="6"/>
  <c r="P45" i="6"/>
  <c r="O45" i="6"/>
  <c r="L45" i="6"/>
  <c r="K45" i="6"/>
  <c r="H45" i="6"/>
  <c r="Y45" i="6" s="1"/>
  <c r="G45" i="6"/>
  <c r="AB45" i="6" s="1"/>
  <c r="W44" i="6"/>
  <c r="X44" i="6" s="1"/>
  <c r="S44" i="6"/>
  <c r="T44" i="6" s="1"/>
  <c r="O44" i="6"/>
  <c r="P44" i="6" s="1"/>
  <c r="K44" i="6"/>
  <c r="L44" i="6" s="1"/>
  <c r="G44" i="6"/>
  <c r="X43" i="6"/>
  <c r="W43" i="6"/>
  <c r="S43" i="6"/>
  <c r="T43" i="6" s="1"/>
  <c r="P43" i="6"/>
  <c r="O43" i="6"/>
  <c r="K43" i="6"/>
  <c r="H43" i="6"/>
  <c r="G43" i="6"/>
  <c r="AB42" i="6"/>
  <c r="W42" i="6"/>
  <c r="X42" i="6" s="1"/>
  <c r="S42" i="6"/>
  <c r="T42" i="6" s="1"/>
  <c r="O42" i="6"/>
  <c r="P42" i="6" s="1"/>
  <c r="L42" i="6"/>
  <c r="K42" i="6"/>
  <c r="G42" i="6"/>
  <c r="H42" i="6" s="1"/>
  <c r="X41" i="6"/>
  <c r="W41" i="6"/>
  <c r="S41" i="6"/>
  <c r="T41" i="6" s="1"/>
  <c r="P41" i="6"/>
  <c r="O41" i="6"/>
  <c r="K41" i="6"/>
  <c r="H41" i="6"/>
  <c r="G41" i="6"/>
  <c r="AB40" i="6"/>
  <c r="X40" i="6"/>
  <c r="W40" i="6"/>
  <c r="S40" i="6"/>
  <c r="T40" i="6" s="1"/>
  <c r="P40" i="6"/>
  <c r="O40" i="6"/>
  <c r="K40" i="6"/>
  <c r="L40" i="6" s="1"/>
  <c r="H40" i="6"/>
  <c r="G40" i="6"/>
  <c r="W39" i="6"/>
  <c r="X39" i="6" s="1"/>
  <c r="T39" i="6"/>
  <c r="S39" i="6"/>
  <c r="O39" i="6"/>
  <c r="P39" i="6" s="1"/>
  <c r="L39" i="6"/>
  <c r="K39" i="6"/>
  <c r="G39" i="6"/>
  <c r="W38" i="6"/>
  <c r="X38" i="6" s="1"/>
  <c r="T38" i="6"/>
  <c r="S38" i="6"/>
  <c r="O38" i="6"/>
  <c r="P38" i="6" s="1"/>
  <c r="L38" i="6"/>
  <c r="K38" i="6"/>
  <c r="G38" i="6"/>
  <c r="AB38" i="6" s="1"/>
  <c r="X37" i="6"/>
  <c r="W37" i="6"/>
  <c r="S37" i="6"/>
  <c r="T37" i="6" s="1"/>
  <c r="P37" i="6"/>
  <c r="O37" i="6"/>
  <c r="K37" i="6"/>
  <c r="H37" i="6"/>
  <c r="G37" i="6"/>
  <c r="AB36" i="6"/>
  <c r="X36" i="6"/>
  <c r="W36" i="6"/>
  <c r="S36" i="6"/>
  <c r="T36" i="6" s="1"/>
  <c r="P36" i="6"/>
  <c r="O36" i="6"/>
  <c r="K36" i="6"/>
  <c r="L36" i="6" s="1"/>
  <c r="H36" i="6"/>
  <c r="G36" i="6"/>
  <c r="W35" i="6"/>
  <c r="X35" i="6" s="1"/>
  <c r="T35" i="6"/>
  <c r="S35" i="6"/>
  <c r="O35" i="6"/>
  <c r="P35" i="6" s="1"/>
  <c r="L35" i="6"/>
  <c r="K35" i="6"/>
  <c r="G35" i="6"/>
  <c r="W34" i="6"/>
  <c r="X34" i="6" s="1"/>
  <c r="T34" i="6"/>
  <c r="S34" i="6"/>
  <c r="O34" i="6"/>
  <c r="P34" i="6" s="1"/>
  <c r="L34" i="6"/>
  <c r="K34" i="6"/>
  <c r="G34" i="6"/>
  <c r="AB34" i="6" s="1"/>
  <c r="X33" i="6"/>
  <c r="W33" i="6"/>
  <c r="S33" i="6"/>
  <c r="T33" i="6" s="1"/>
  <c r="P33" i="6"/>
  <c r="O33" i="6"/>
  <c r="K33" i="6"/>
  <c r="H33" i="6"/>
  <c r="G33" i="6"/>
  <c r="AB32" i="6"/>
  <c r="X32" i="6"/>
  <c r="W32" i="6"/>
  <c r="S32" i="6"/>
  <c r="T32" i="6" s="1"/>
  <c r="P32" i="6"/>
  <c r="O32" i="6"/>
  <c r="K32" i="6"/>
  <c r="L32" i="6" s="1"/>
  <c r="H32" i="6"/>
  <c r="G32" i="6"/>
  <c r="W31" i="6"/>
  <c r="X31" i="6" s="1"/>
  <c r="T31" i="6"/>
  <c r="S31" i="6"/>
  <c r="O31" i="6"/>
  <c r="P31" i="6" s="1"/>
  <c r="L31" i="6"/>
  <c r="K31" i="6"/>
  <c r="G31" i="6"/>
  <c r="W30" i="6"/>
  <c r="X30" i="6" s="1"/>
  <c r="T30" i="6"/>
  <c r="S30" i="6"/>
  <c r="O30" i="6"/>
  <c r="P30" i="6" s="1"/>
  <c r="L30" i="6"/>
  <c r="K30" i="6"/>
  <c r="G30" i="6"/>
  <c r="AB30" i="6" s="1"/>
  <c r="X29" i="6"/>
  <c r="W29" i="6"/>
  <c r="S29" i="6"/>
  <c r="T29" i="6" s="1"/>
  <c r="P29" i="6"/>
  <c r="O29" i="6"/>
  <c r="K29" i="6"/>
  <c r="H29" i="6"/>
  <c r="G29" i="6"/>
  <c r="AB28" i="6"/>
  <c r="X28" i="6"/>
  <c r="W28" i="6"/>
  <c r="S28" i="6"/>
  <c r="T28" i="6" s="1"/>
  <c r="P28" i="6"/>
  <c r="O28" i="6"/>
  <c r="K28" i="6"/>
  <c r="L28" i="6" s="1"/>
  <c r="H28" i="6"/>
  <c r="Y28" i="6" s="1"/>
  <c r="G28" i="6"/>
  <c r="W27" i="6"/>
  <c r="X27" i="6" s="1"/>
  <c r="T27" i="6"/>
  <c r="S27" i="6"/>
  <c r="O27" i="6"/>
  <c r="P27" i="6" s="1"/>
  <c r="L27" i="6"/>
  <c r="K27" i="6"/>
  <c r="G27" i="6"/>
  <c r="W26" i="6"/>
  <c r="X26" i="6" s="1"/>
  <c r="T26" i="6"/>
  <c r="S26" i="6"/>
  <c r="O26" i="6"/>
  <c r="P26" i="6" s="1"/>
  <c r="L26" i="6"/>
  <c r="K26" i="6"/>
  <c r="G26" i="6"/>
  <c r="AB26" i="6" s="1"/>
  <c r="X25" i="6"/>
  <c r="W25" i="6"/>
  <c r="S25" i="6"/>
  <c r="T25" i="6" s="1"/>
  <c r="P25" i="6"/>
  <c r="O25" i="6"/>
  <c r="K25" i="6"/>
  <c r="H25" i="6"/>
  <c r="G25" i="6"/>
  <c r="AB24" i="6"/>
  <c r="X24" i="6"/>
  <c r="W24" i="6"/>
  <c r="S24" i="6"/>
  <c r="T24" i="6" s="1"/>
  <c r="P24" i="6"/>
  <c r="O24" i="6"/>
  <c r="K24" i="6"/>
  <c r="L24" i="6" s="1"/>
  <c r="H24" i="6"/>
  <c r="G24" i="6"/>
  <c r="W23" i="6"/>
  <c r="X23" i="6" s="1"/>
  <c r="T23" i="6"/>
  <c r="S23" i="6"/>
  <c r="O23" i="6"/>
  <c r="P23" i="6" s="1"/>
  <c r="L23" i="6"/>
  <c r="K23" i="6"/>
  <c r="G23" i="6"/>
  <c r="W22" i="6"/>
  <c r="X22" i="6" s="1"/>
  <c r="T22" i="6"/>
  <c r="S22" i="6"/>
  <c r="O22" i="6"/>
  <c r="P22" i="6" s="1"/>
  <c r="L22" i="6"/>
  <c r="K22" i="6"/>
  <c r="G22" i="6"/>
  <c r="AB22" i="6" s="1"/>
  <c r="X21" i="6"/>
  <c r="W21" i="6"/>
  <c r="S21" i="6"/>
  <c r="T21" i="6" s="1"/>
  <c r="P21" i="6"/>
  <c r="O21" i="6"/>
  <c r="K21" i="6"/>
  <c r="H21" i="6"/>
  <c r="G21" i="6"/>
  <c r="X20" i="6"/>
  <c r="W20" i="6"/>
  <c r="S20" i="6"/>
  <c r="T20" i="6" s="1"/>
  <c r="O20" i="6"/>
  <c r="P20" i="6" s="1"/>
  <c r="K20" i="6"/>
  <c r="L20" i="6" s="1"/>
  <c r="G20" i="6"/>
  <c r="H20" i="6" s="1"/>
  <c r="W19" i="6"/>
  <c r="X19" i="6" s="1"/>
  <c r="T19" i="6"/>
  <c r="S19" i="6"/>
  <c r="O19" i="6"/>
  <c r="P19" i="6" s="1"/>
  <c r="L19" i="6"/>
  <c r="K19" i="6"/>
  <c r="G19" i="6"/>
  <c r="W18" i="6"/>
  <c r="X18" i="6" s="1"/>
  <c r="S18" i="6"/>
  <c r="T18" i="6" s="1"/>
  <c r="O18" i="6"/>
  <c r="P18" i="6" s="1"/>
  <c r="L18" i="6"/>
  <c r="K18" i="6"/>
  <c r="G18" i="6"/>
  <c r="AB18" i="6" s="1"/>
  <c r="AB17" i="6"/>
  <c r="X17" i="6"/>
  <c r="W17" i="6"/>
  <c r="S17" i="6"/>
  <c r="T17" i="6" s="1"/>
  <c r="P17" i="6"/>
  <c r="O17" i="6"/>
  <c r="K17" i="6"/>
  <c r="L17" i="6" s="1"/>
  <c r="H17" i="6"/>
  <c r="Y17" i="6" s="1"/>
  <c r="G17" i="6"/>
  <c r="W16" i="6"/>
  <c r="X16" i="6" s="1"/>
  <c r="S16" i="6"/>
  <c r="T16" i="6" s="1"/>
  <c r="P16" i="6"/>
  <c r="O16" i="6"/>
  <c r="K16" i="6"/>
  <c r="L16" i="6" s="1"/>
  <c r="G16" i="6"/>
  <c r="X15" i="6"/>
  <c r="W15" i="6"/>
  <c r="T15" i="6"/>
  <c r="S15" i="6"/>
  <c r="P15" i="6"/>
  <c r="O15" i="6"/>
  <c r="L15" i="6"/>
  <c r="K15" i="6"/>
  <c r="H15" i="6"/>
  <c r="Y15" i="6" s="1"/>
  <c r="G15" i="6"/>
  <c r="AB15" i="6" s="1"/>
  <c r="W14" i="6"/>
  <c r="X14" i="6" s="1"/>
  <c r="S14" i="6"/>
  <c r="T14" i="6" s="1"/>
  <c r="O14" i="6"/>
  <c r="P14" i="6" s="1"/>
  <c r="K14" i="6"/>
  <c r="L14" i="6" s="1"/>
  <c r="G14" i="6"/>
  <c r="X13" i="6"/>
  <c r="W13" i="6"/>
  <c r="S13" i="6"/>
  <c r="T13" i="6" s="1"/>
  <c r="P13" i="6"/>
  <c r="O13" i="6"/>
  <c r="K13" i="6"/>
  <c r="H13" i="6"/>
  <c r="G13" i="6"/>
  <c r="W12" i="6"/>
  <c r="X12" i="6" s="1"/>
  <c r="S12" i="6"/>
  <c r="T12" i="6" s="1"/>
  <c r="O12" i="6"/>
  <c r="P12" i="6" s="1"/>
  <c r="K12" i="6"/>
  <c r="L12" i="6" s="1"/>
  <c r="G12" i="6"/>
  <c r="H12" i="6" s="1"/>
  <c r="W11" i="6"/>
  <c r="X11" i="6" s="1"/>
  <c r="T11" i="6"/>
  <c r="S11" i="6"/>
  <c r="O11" i="6"/>
  <c r="P11" i="6" s="1"/>
  <c r="L11" i="6"/>
  <c r="K11" i="6"/>
  <c r="G11" i="6"/>
  <c r="H11" i="6" s="1"/>
  <c r="W10" i="6"/>
  <c r="X10" i="6" s="1"/>
  <c r="S10" i="6"/>
  <c r="T10" i="6" s="1"/>
  <c r="O10" i="6"/>
  <c r="P10" i="6" s="1"/>
  <c r="L10" i="6"/>
  <c r="K10" i="6"/>
  <c r="G10" i="6"/>
  <c r="AB9" i="6"/>
  <c r="X9" i="6"/>
  <c r="W9" i="6"/>
  <c r="S9" i="6"/>
  <c r="T9" i="6" s="1"/>
  <c r="P9" i="6"/>
  <c r="O9" i="6"/>
  <c r="K9" i="6"/>
  <c r="L9" i="6" s="1"/>
  <c r="H9" i="6"/>
  <c r="G9" i="6"/>
  <c r="W8" i="6"/>
  <c r="X8" i="6" s="1"/>
  <c r="S8" i="6"/>
  <c r="T8" i="6" s="1"/>
  <c r="P8" i="6"/>
  <c r="O8" i="6"/>
  <c r="K8" i="6"/>
  <c r="L8" i="6" s="1"/>
  <c r="G8" i="6"/>
  <c r="X7" i="6"/>
  <c r="W7" i="6"/>
  <c r="T7" i="6"/>
  <c r="S7" i="6"/>
  <c r="P7" i="6"/>
  <c r="O7" i="6"/>
  <c r="L7" i="6"/>
  <c r="K7" i="6"/>
  <c r="H7" i="6"/>
  <c r="Y7" i="6" s="1"/>
  <c r="G7" i="6"/>
  <c r="AB7" i="6" s="1"/>
  <c r="W6" i="6"/>
  <c r="X6" i="6" s="1"/>
  <c r="S6" i="6"/>
  <c r="T6" i="6" s="1"/>
  <c r="O6" i="6"/>
  <c r="P6" i="6" s="1"/>
  <c r="K6" i="6"/>
  <c r="L6" i="6" s="1"/>
  <c r="G6" i="6"/>
  <c r="X5" i="6"/>
  <c r="W5" i="6"/>
  <c r="S5" i="6"/>
  <c r="T5" i="6" s="1"/>
  <c r="P5" i="6"/>
  <c r="O5" i="6"/>
  <c r="K5" i="6"/>
  <c r="H5" i="6"/>
  <c r="G5" i="6"/>
  <c r="W45" i="5"/>
  <c r="X45" i="5" s="1"/>
  <c r="S45" i="5"/>
  <c r="T45" i="5" s="1"/>
  <c r="O45" i="5"/>
  <c r="P45" i="5" s="1"/>
  <c r="K45" i="5"/>
  <c r="L45" i="5" s="1"/>
  <c r="G45" i="5"/>
  <c r="H45" i="5" s="1"/>
  <c r="Y45" i="5" s="1"/>
  <c r="W44" i="5"/>
  <c r="X44" i="5" s="1"/>
  <c r="T44" i="5"/>
  <c r="S44" i="5"/>
  <c r="O44" i="5"/>
  <c r="P44" i="5" s="1"/>
  <c r="L44" i="5"/>
  <c r="K44" i="5"/>
  <c r="G44" i="5"/>
  <c r="H44" i="5" s="1"/>
  <c r="Y44" i="5" s="1"/>
  <c r="W43" i="5"/>
  <c r="X43" i="5" s="1"/>
  <c r="S43" i="5"/>
  <c r="T43" i="5" s="1"/>
  <c r="O43" i="5"/>
  <c r="P43" i="5" s="1"/>
  <c r="L43" i="5"/>
  <c r="K43" i="5"/>
  <c r="G43" i="5"/>
  <c r="AB42" i="5"/>
  <c r="X42" i="5"/>
  <c r="W42" i="5"/>
  <c r="S42" i="5"/>
  <c r="T42" i="5" s="1"/>
  <c r="P42" i="5"/>
  <c r="O42" i="5"/>
  <c r="K42" i="5"/>
  <c r="L42" i="5" s="1"/>
  <c r="H42" i="5"/>
  <c r="Y42" i="5" s="1"/>
  <c r="G42" i="5"/>
  <c r="W41" i="5"/>
  <c r="X41" i="5" s="1"/>
  <c r="S41" i="5"/>
  <c r="T41" i="5" s="1"/>
  <c r="P41" i="5"/>
  <c r="O41" i="5"/>
  <c r="K41" i="5"/>
  <c r="L41" i="5" s="1"/>
  <c r="G41" i="5"/>
  <c r="X40" i="5"/>
  <c r="W40" i="5"/>
  <c r="T40" i="5"/>
  <c r="S40" i="5"/>
  <c r="P40" i="5"/>
  <c r="O40" i="5"/>
  <c r="L40" i="5"/>
  <c r="K40" i="5"/>
  <c r="H40" i="5"/>
  <c r="Y40" i="5" s="1"/>
  <c r="G40" i="5"/>
  <c r="AB40" i="5" s="1"/>
  <c r="W39" i="5"/>
  <c r="X39" i="5" s="1"/>
  <c r="S39" i="5"/>
  <c r="T39" i="5" s="1"/>
  <c r="O39" i="5"/>
  <c r="P39" i="5" s="1"/>
  <c r="K39" i="5"/>
  <c r="L39" i="5" s="1"/>
  <c r="G39" i="5"/>
  <c r="X38" i="5"/>
  <c r="W38" i="5"/>
  <c r="S38" i="5"/>
  <c r="T38" i="5" s="1"/>
  <c r="P38" i="5"/>
  <c r="O38" i="5"/>
  <c r="K38" i="5"/>
  <c r="H38" i="5"/>
  <c r="G38" i="5"/>
  <c r="W37" i="5"/>
  <c r="X37" i="5" s="1"/>
  <c r="S37" i="5"/>
  <c r="T37" i="5" s="1"/>
  <c r="O37" i="5"/>
  <c r="P37" i="5" s="1"/>
  <c r="K37" i="5"/>
  <c r="L37" i="5" s="1"/>
  <c r="G37" i="5"/>
  <c r="H37" i="5" s="1"/>
  <c r="W36" i="5"/>
  <c r="X36" i="5" s="1"/>
  <c r="T36" i="5"/>
  <c r="S36" i="5"/>
  <c r="O36" i="5"/>
  <c r="P36" i="5" s="1"/>
  <c r="L36" i="5"/>
  <c r="K36" i="5"/>
  <c r="G36" i="5"/>
  <c r="H36" i="5" s="1"/>
  <c r="W35" i="5"/>
  <c r="X35" i="5" s="1"/>
  <c r="S35" i="5"/>
  <c r="T35" i="5" s="1"/>
  <c r="O35" i="5"/>
  <c r="P35" i="5" s="1"/>
  <c r="L35" i="5"/>
  <c r="K35" i="5"/>
  <c r="G35" i="5"/>
  <c r="AB34" i="5"/>
  <c r="X34" i="5"/>
  <c r="W34" i="5"/>
  <c r="S34" i="5"/>
  <c r="T34" i="5" s="1"/>
  <c r="P34" i="5"/>
  <c r="O34" i="5"/>
  <c r="K34" i="5"/>
  <c r="L34" i="5" s="1"/>
  <c r="H34" i="5"/>
  <c r="G34" i="5"/>
  <c r="W33" i="5"/>
  <c r="X33" i="5" s="1"/>
  <c r="S33" i="5"/>
  <c r="T33" i="5" s="1"/>
  <c r="P33" i="5"/>
  <c r="O33" i="5"/>
  <c r="K33" i="5"/>
  <c r="L33" i="5" s="1"/>
  <c r="G33" i="5"/>
  <c r="W32" i="5"/>
  <c r="X32" i="5" s="1"/>
  <c r="T32" i="5"/>
  <c r="S32" i="5"/>
  <c r="O32" i="5"/>
  <c r="P32" i="5" s="1"/>
  <c r="L32" i="5"/>
  <c r="K32" i="5"/>
  <c r="G32" i="5"/>
  <c r="AB32" i="5" s="1"/>
  <c r="W31" i="5"/>
  <c r="X31" i="5" s="1"/>
  <c r="S31" i="5"/>
  <c r="T31" i="5" s="1"/>
  <c r="O31" i="5"/>
  <c r="P31" i="5" s="1"/>
  <c r="K31" i="5"/>
  <c r="L31" i="5" s="1"/>
  <c r="G31" i="5"/>
  <c r="AB31" i="5" s="1"/>
  <c r="AB30" i="5"/>
  <c r="X30" i="5"/>
  <c r="W30" i="5"/>
  <c r="S30" i="5"/>
  <c r="T30" i="5" s="1"/>
  <c r="P30" i="5"/>
  <c r="O30" i="5"/>
  <c r="K30" i="5"/>
  <c r="L30" i="5" s="1"/>
  <c r="H30" i="5"/>
  <c r="Y30" i="5" s="1"/>
  <c r="G30" i="5"/>
  <c r="W29" i="5"/>
  <c r="X29" i="5" s="1"/>
  <c r="S29" i="5"/>
  <c r="T29" i="5" s="1"/>
  <c r="O29" i="5"/>
  <c r="P29" i="5" s="1"/>
  <c r="K29" i="5"/>
  <c r="L29" i="5" s="1"/>
  <c r="G29" i="5"/>
  <c r="W28" i="5"/>
  <c r="X28" i="5" s="1"/>
  <c r="T28" i="5"/>
  <c r="S28" i="5"/>
  <c r="O28" i="5"/>
  <c r="P28" i="5" s="1"/>
  <c r="L28" i="5"/>
  <c r="K28" i="5"/>
  <c r="G28" i="5"/>
  <c r="AB28" i="5" s="1"/>
  <c r="W27" i="5"/>
  <c r="X27" i="5" s="1"/>
  <c r="S27" i="5"/>
  <c r="T27" i="5" s="1"/>
  <c r="O27" i="5"/>
  <c r="P27" i="5" s="1"/>
  <c r="K27" i="5"/>
  <c r="L27" i="5" s="1"/>
  <c r="G27" i="5"/>
  <c r="AB27" i="5" s="1"/>
  <c r="X26" i="5"/>
  <c r="W26" i="5"/>
  <c r="S26" i="5"/>
  <c r="T26" i="5" s="1"/>
  <c r="P26" i="5"/>
  <c r="Y26" i="5" s="1"/>
  <c r="O26" i="5"/>
  <c r="K26" i="5"/>
  <c r="L26" i="5" s="1"/>
  <c r="H26" i="5"/>
  <c r="G26" i="5"/>
  <c r="AB25" i="5"/>
  <c r="W25" i="5"/>
  <c r="X25" i="5" s="1"/>
  <c r="S25" i="5"/>
  <c r="T25" i="5" s="1"/>
  <c r="P25" i="5"/>
  <c r="O25" i="5"/>
  <c r="K25" i="5"/>
  <c r="L25" i="5" s="1"/>
  <c r="H25" i="5"/>
  <c r="G25" i="5"/>
  <c r="W24" i="5"/>
  <c r="X24" i="5" s="1"/>
  <c r="T24" i="5"/>
  <c r="S24" i="5"/>
  <c r="O24" i="5"/>
  <c r="P24" i="5" s="1"/>
  <c r="L24" i="5"/>
  <c r="K24" i="5"/>
  <c r="G24" i="5"/>
  <c r="W23" i="5"/>
  <c r="X23" i="5" s="1"/>
  <c r="S23" i="5"/>
  <c r="T23" i="5" s="1"/>
  <c r="O23" i="5"/>
  <c r="P23" i="5" s="1"/>
  <c r="K23" i="5"/>
  <c r="L23" i="5" s="1"/>
  <c r="G23" i="5"/>
  <c r="AB23" i="5" s="1"/>
  <c r="X22" i="5"/>
  <c r="W22" i="5"/>
  <c r="S22" i="5"/>
  <c r="T22" i="5" s="1"/>
  <c r="P22" i="5"/>
  <c r="Y22" i="5" s="1"/>
  <c r="O22" i="5"/>
  <c r="K22" i="5"/>
  <c r="L22" i="5" s="1"/>
  <c r="H22" i="5"/>
  <c r="G22" i="5"/>
  <c r="AB21" i="5"/>
  <c r="W21" i="5"/>
  <c r="X21" i="5" s="1"/>
  <c r="S21" i="5"/>
  <c r="T21" i="5" s="1"/>
  <c r="P21" i="5"/>
  <c r="O21" i="5"/>
  <c r="K21" i="5"/>
  <c r="L21" i="5" s="1"/>
  <c r="H21" i="5"/>
  <c r="G21" i="5"/>
  <c r="W20" i="5"/>
  <c r="X20" i="5" s="1"/>
  <c r="T20" i="5"/>
  <c r="S20" i="5"/>
  <c r="O20" i="5"/>
  <c r="P20" i="5" s="1"/>
  <c r="L20" i="5"/>
  <c r="K20" i="5"/>
  <c r="G20" i="5"/>
  <c r="W19" i="5"/>
  <c r="X19" i="5" s="1"/>
  <c r="S19" i="5"/>
  <c r="T19" i="5" s="1"/>
  <c r="O19" i="5"/>
  <c r="P19" i="5" s="1"/>
  <c r="K19" i="5"/>
  <c r="L19" i="5" s="1"/>
  <c r="G19" i="5"/>
  <c r="AB19" i="5" s="1"/>
  <c r="X18" i="5"/>
  <c r="W18" i="5"/>
  <c r="S18" i="5"/>
  <c r="T18" i="5" s="1"/>
  <c r="P18" i="5"/>
  <c r="Y18" i="5" s="1"/>
  <c r="O18" i="5"/>
  <c r="K18" i="5"/>
  <c r="L18" i="5" s="1"/>
  <c r="H18" i="5"/>
  <c r="G18" i="5"/>
  <c r="AB17" i="5"/>
  <c r="W17" i="5"/>
  <c r="X17" i="5" s="1"/>
  <c r="S17" i="5"/>
  <c r="T17" i="5" s="1"/>
  <c r="P17" i="5"/>
  <c r="O17" i="5"/>
  <c r="K17" i="5"/>
  <c r="L17" i="5" s="1"/>
  <c r="H17" i="5"/>
  <c r="G17" i="5"/>
  <c r="W16" i="5"/>
  <c r="X16" i="5" s="1"/>
  <c r="T16" i="5"/>
  <c r="S16" i="5"/>
  <c r="O16" i="5"/>
  <c r="P16" i="5" s="1"/>
  <c r="L16" i="5"/>
  <c r="K16" i="5"/>
  <c r="G16" i="5"/>
  <c r="W15" i="5"/>
  <c r="X15" i="5" s="1"/>
  <c r="S15" i="5"/>
  <c r="T15" i="5" s="1"/>
  <c r="O15" i="5"/>
  <c r="P15" i="5" s="1"/>
  <c r="K15" i="5"/>
  <c r="L15" i="5" s="1"/>
  <c r="G15" i="5"/>
  <c r="AB15" i="5" s="1"/>
  <c r="X14" i="5"/>
  <c r="W14" i="5"/>
  <c r="S14" i="5"/>
  <c r="T14" i="5" s="1"/>
  <c r="P14" i="5"/>
  <c r="Y14" i="5" s="1"/>
  <c r="O14" i="5"/>
  <c r="K14" i="5"/>
  <c r="L14" i="5" s="1"/>
  <c r="H14" i="5"/>
  <c r="G14" i="5"/>
  <c r="AB13" i="5"/>
  <c r="W13" i="5"/>
  <c r="X13" i="5" s="1"/>
  <c r="S13" i="5"/>
  <c r="T13" i="5" s="1"/>
  <c r="P13" i="5"/>
  <c r="O13" i="5"/>
  <c r="K13" i="5"/>
  <c r="L13" i="5" s="1"/>
  <c r="H13" i="5"/>
  <c r="G13" i="5"/>
  <c r="W12" i="5"/>
  <c r="X12" i="5" s="1"/>
  <c r="T12" i="5"/>
  <c r="S12" i="5"/>
  <c r="O12" i="5"/>
  <c r="P12" i="5" s="1"/>
  <c r="L12" i="5"/>
  <c r="K12" i="5"/>
  <c r="G12" i="5"/>
  <c r="W11" i="5"/>
  <c r="X11" i="5" s="1"/>
  <c r="S11" i="5"/>
  <c r="T11" i="5" s="1"/>
  <c r="O11" i="5"/>
  <c r="P11" i="5" s="1"/>
  <c r="K11" i="5"/>
  <c r="L11" i="5" s="1"/>
  <c r="G11" i="5"/>
  <c r="AB11" i="5" s="1"/>
  <c r="X10" i="5"/>
  <c r="W10" i="5"/>
  <c r="S10" i="5"/>
  <c r="T10" i="5" s="1"/>
  <c r="P10" i="5"/>
  <c r="Y10" i="5" s="1"/>
  <c r="O10" i="5"/>
  <c r="K10" i="5"/>
  <c r="L10" i="5" s="1"/>
  <c r="H10" i="5"/>
  <c r="G10" i="5"/>
  <c r="AB9" i="5"/>
  <c r="W9" i="5"/>
  <c r="X9" i="5" s="1"/>
  <c r="S9" i="5"/>
  <c r="T9" i="5" s="1"/>
  <c r="P9" i="5"/>
  <c r="O9" i="5"/>
  <c r="K9" i="5"/>
  <c r="L9" i="5" s="1"/>
  <c r="H9" i="5"/>
  <c r="G9" i="5"/>
  <c r="W8" i="5"/>
  <c r="X8" i="5" s="1"/>
  <c r="T8" i="5"/>
  <c r="S8" i="5"/>
  <c r="O8" i="5"/>
  <c r="P8" i="5" s="1"/>
  <c r="L8" i="5"/>
  <c r="K8" i="5"/>
  <c r="G8" i="5"/>
  <c r="W7" i="5"/>
  <c r="X7" i="5" s="1"/>
  <c r="S7" i="5"/>
  <c r="T7" i="5" s="1"/>
  <c r="O7" i="5"/>
  <c r="P7" i="5" s="1"/>
  <c r="K7" i="5"/>
  <c r="L7" i="5" s="1"/>
  <c r="G7" i="5"/>
  <c r="AB7" i="5" s="1"/>
  <c r="X6" i="5"/>
  <c r="W6" i="5"/>
  <c r="S6" i="5"/>
  <c r="T6" i="5" s="1"/>
  <c r="P6" i="5"/>
  <c r="Y6" i="5" s="1"/>
  <c r="O6" i="5"/>
  <c r="K6" i="5"/>
  <c r="L6" i="5" s="1"/>
  <c r="H6" i="5"/>
  <c r="G6" i="5"/>
  <c r="AB5" i="5"/>
  <c r="W5" i="5"/>
  <c r="X5" i="5" s="1"/>
  <c r="S5" i="5"/>
  <c r="T5" i="5" s="1"/>
  <c r="P5" i="5"/>
  <c r="O5" i="5"/>
  <c r="K5" i="5"/>
  <c r="L5" i="5" s="1"/>
  <c r="H5" i="5"/>
  <c r="G5" i="5"/>
  <c r="S45" i="4"/>
  <c r="T45" i="4" s="1"/>
  <c r="P45" i="4"/>
  <c r="O45" i="4"/>
  <c r="K45" i="4"/>
  <c r="H45" i="4"/>
  <c r="G45" i="4"/>
  <c r="T44" i="4"/>
  <c r="S44" i="4"/>
  <c r="O44" i="4"/>
  <c r="P44" i="4" s="1"/>
  <c r="K44" i="4"/>
  <c r="X44" i="4" s="1"/>
  <c r="G44" i="4"/>
  <c r="H44" i="4" s="1"/>
  <c r="T43" i="4"/>
  <c r="S43" i="4"/>
  <c r="O43" i="4"/>
  <c r="P43" i="4" s="1"/>
  <c r="L43" i="4"/>
  <c r="U43" i="4" s="1"/>
  <c r="K43" i="4"/>
  <c r="G43" i="4"/>
  <c r="H43" i="4" s="1"/>
  <c r="S42" i="4"/>
  <c r="T42" i="4" s="1"/>
  <c r="O42" i="4"/>
  <c r="P42" i="4" s="1"/>
  <c r="K42" i="4"/>
  <c r="L42" i="4" s="1"/>
  <c r="G42" i="4"/>
  <c r="S41" i="4"/>
  <c r="T41" i="4" s="1"/>
  <c r="P41" i="4"/>
  <c r="O41" i="4"/>
  <c r="K41" i="4"/>
  <c r="H41" i="4"/>
  <c r="G41" i="4"/>
  <c r="X40" i="4"/>
  <c r="S40" i="4"/>
  <c r="T40" i="4" s="1"/>
  <c r="O40" i="4"/>
  <c r="P40" i="4" s="1"/>
  <c r="L40" i="4"/>
  <c r="K40" i="4"/>
  <c r="G40" i="4"/>
  <c r="H40" i="4" s="1"/>
  <c r="T39" i="4"/>
  <c r="S39" i="4"/>
  <c r="O39" i="4"/>
  <c r="P39" i="4" s="1"/>
  <c r="L39" i="4"/>
  <c r="K39" i="4"/>
  <c r="G39" i="4"/>
  <c r="H39" i="4" s="1"/>
  <c r="U39" i="4" s="1"/>
  <c r="S38" i="4"/>
  <c r="T38" i="4" s="1"/>
  <c r="P38" i="4"/>
  <c r="O38" i="4"/>
  <c r="K38" i="4"/>
  <c r="L38" i="4" s="1"/>
  <c r="H38" i="4"/>
  <c r="U38" i="4" s="1"/>
  <c r="G38" i="4"/>
  <c r="X38" i="4" s="1"/>
  <c r="S37" i="4"/>
  <c r="T37" i="4" s="1"/>
  <c r="P37" i="4"/>
  <c r="O37" i="4"/>
  <c r="K37" i="4"/>
  <c r="H37" i="4"/>
  <c r="G37" i="4"/>
  <c r="T36" i="4"/>
  <c r="S36" i="4"/>
  <c r="O36" i="4"/>
  <c r="P36" i="4" s="1"/>
  <c r="K36" i="4"/>
  <c r="X36" i="4" s="1"/>
  <c r="G36" i="4"/>
  <c r="H36" i="4" s="1"/>
  <c r="T35" i="4"/>
  <c r="S35" i="4"/>
  <c r="O35" i="4"/>
  <c r="P35" i="4" s="1"/>
  <c r="L35" i="4"/>
  <c r="U35" i="4" s="1"/>
  <c r="K35" i="4"/>
  <c r="G35" i="4"/>
  <c r="H35" i="4" s="1"/>
  <c r="S34" i="4"/>
  <c r="T34" i="4" s="1"/>
  <c r="O34" i="4"/>
  <c r="P34" i="4" s="1"/>
  <c r="K34" i="4"/>
  <c r="L34" i="4" s="1"/>
  <c r="G34" i="4"/>
  <c r="S33" i="4"/>
  <c r="T33" i="4" s="1"/>
  <c r="P33" i="4"/>
  <c r="O33" i="4"/>
  <c r="K33" i="4"/>
  <c r="H33" i="4"/>
  <c r="G33" i="4"/>
  <c r="X32" i="4"/>
  <c r="S32" i="4"/>
  <c r="T32" i="4" s="1"/>
  <c r="O32" i="4"/>
  <c r="P32" i="4" s="1"/>
  <c r="L32" i="4"/>
  <c r="K32" i="4"/>
  <c r="G32" i="4"/>
  <c r="H32" i="4" s="1"/>
  <c r="T31" i="4"/>
  <c r="S31" i="4"/>
  <c r="O31" i="4"/>
  <c r="P31" i="4" s="1"/>
  <c r="L31" i="4"/>
  <c r="K31" i="4"/>
  <c r="G31" i="4"/>
  <c r="H31" i="4" s="1"/>
  <c r="U31" i="4" s="1"/>
  <c r="S30" i="4"/>
  <c r="T30" i="4" s="1"/>
  <c r="P30" i="4"/>
  <c r="O30" i="4"/>
  <c r="K30" i="4"/>
  <c r="L30" i="4" s="1"/>
  <c r="H30" i="4"/>
  <c r="U30" i="4" s="1"/>
  <c r="G30" i="4"/>
  <c r="X30" i="4" s="1"/>
  <c r="S29" i="4"/>
  <c r="T29" i="4" s="1"/>
  <c r="P29" i="4"/>
  <c r="O29" i="4"/>
  <c r="K29" i="4"/>
  <c r="L29" i="4" s="1"/>
  <c r="H29" i="4"/>
  <c r="U29" i="4" s="1"/>
  <c r="Y29" i="4" s="1"/>
  <c r="G29" i="4"/>
  <c r="T28" i="4"/>
  <c r="S28" i="4"/>
  <c r="O28" i="4"/>
  <c r="P28" i="4" s="1"/>
  <c r="L28" i="4"/>
  <c r="K28" i="4"/>
  <c r="G28" i="4"/>
  <c r="X28" i="4" s="1"/>
  <c r="S27" i="4"/>
  <c r="T27" i="4" s="1"/>
  <c r="P27" i="4"/>
  <c r="O27" i="4"/>
  <c r="K27" i="4"/>
  <c r="L27" i="4" s="1"/>
  <c r="H27" i="4"/>
  <c r="G27" i="4"/>
  <c r="X27" i="4" s="1"/>
  <c r="S26" i="4"/>
  <c r="T26" i="4" s="1"/>
  <c r="P26" i="4"/>
  <c r="O26" i="4"/>
  <c r="K26" i="4"/>
  <c r="X26" i="4" s="1"/>
  <c r="H26" i="4"/>
  <c r="G26" i="4"/>
  <c r="X25" i="4"/>
  <c r="T25" i="4"/>
  <c r="S25" i="4"/>
  <c r="O25" i="4"/>
  <c r="P25" i="4" s="1"/>
  <c r="L25" i="4"/>
  <c r="K25" i="4"/>
  <c r="G25" i="4"/>
  <c r="H25" i="4" s="1"/>
  <c r="T24" i="4"/>
  <c r="S24" i="4"/>
  <c r="O24" i="4"/>
  <c r="P24" i="4" s="1"/>
  <c r="L24" i="4"/>
  <c r="K24" i="4"/>
  <c r="G24" i="4"/>
  <c r="X24" i="4" s="1"/>
  <c r="S23" i="4"/>
  <c r="T23" i="4" s="1"/>
  <c r="P23" i="4"/>
  <c r="O23" i="4"/>
  <c r="K23" i="4"/>
  <c r="L23" i="4" s="1"/>
  <c r="H23" i="4"/>
  <c r="G23" i="4"/>
  <c r="X23" i="4" s="1"/>
  <c r="S22" i="4"/>
  <c r="T22" i="4" s="1"/>
  <c r="P22" i="4"/>
  <c r="O22" i="4"/>
  <c r="K22" i="4"/>
  <c r="X22" i="4" s="1"/>
  <c r="H22" i="4"/>
  <c r="G22" i="4"/>
  <c r="X21" i="4"/>
  <c r="T21" i="4"/>
  <c r="S21" i="4"/>
  <c r="O21" i="4"/>
  <c r="P21" i="4" s="1"/>
  <c r="L21" i="4"/>
  <c r="K21" i="4"/>
  <c r="G21" i="4"/>
  <c r="H21" i="4" s="1"/>
  <c r="U21" i="4" s="1"/>
  <c r="T20" i="4"/>
  <c r="S20" i="4"/>
  <c r="O20" i="4"/>
  <c r="P20" i="4" s="1"/>
  <c r="L20" i="4"/>
  <c r="K20" i="4"/>
  <c r="G20" i="4"/>
  <c r="X20" i="4" s="1"/>
  <c r="S19" i="4"/>
  <c r="T19" i="4" s="1"/>
  <c r="P19" i="4"/>
  <c r="O19" i="4"/>
  <c r="K19" i="4"/>
  <c r="L19" i="4" s="1"/>
  <c r="H19" i="4"/>
  <c r="G19" i="4"/>
  <c r="X19" i="4" s="1"/>
  <c r="S18" i="4"/>
  <c r="T18" i="4" s="1"/>
  <c r="P18" i="4"/>
  <c r="O18" i="4"/>
  <c r="K18" i="4"/>
  <c r="X18" i="4" s="1"/>
  <c r="H18" i="4"/>
  <c r="G18" i="4"/>
  <c r="X17" i="4"/>
  <c r="T17" i="4"/>
  <c r="S17" i="4"/>
  <c r="O17" i="4"/>
  <c r="P17" i="4" s="1"/>
  <c r="L17" i="4"/>
  <c r="K17" i="4"/>
  <c r="G17" i="4"/>
  <c r="H17" i="4" s="1"/>
  <c r="U17" i="4" s="1"/>
  <c r="T16" i="4"/>
  <c r="S16" i="4"/>
  <c r="O16" i="4"/>
  <c r="P16" i="4" s="1"/>
  <c r="L16" i="4"/>
  <c r="K16" i="4"/>
  <c r="G16" i="4"/>
  <c r="X16" i="4" s="1"/>
  <c r="S15" i="4"/>
  <c r="T15" i="4" s="1"/>
  <c r="P15" i="4"/>
  <c r="O15" i="4"/>
  <c r="K15" i="4"/>
  <c r="L15" i="4" s="1"/>
  <c r="H15" i="4"/>
  <c r="U15" i="4" s="1"/>
  <c r="G15" i="4"/>
  <c r="X15" i="4" s="1"/>
  <c r="S14" i="4"/>
  <c r="T14" i="4" s="1"/>
  <c r="P14" i="4"/>
  <c r="O14" i="4"/>
  <c r="K14" i="4"/>
  <c r="X14" i="4" s="1"/>
  <c r="H14" i="4"/>
  <c r="G14" i="4"/>
  <c r="X13" i="4"/>
  <c r="T13" i="4"/>
  <c r="S13" i="4"/>
  <c r="O13" i="4"/>
  <c r="P13" i="4" s="1"/>
  <c r="L13" i="4"/>
  <c r="K13" i="4"/>
  <c r="G13" i="4"/>
  <c r="H13" i="4" s="1"/>
  <c r="U13" i="4" s="1"/>
  <c r="T12" i="4"/>
  <c r="S12" i="4"/>
  <c r="O12" i="4"/>
  <c r="P12" i="4" s="1"/>
  <c r="L12" i="4"/>
  <c r="K12" i="4"/>
  <c r="G12" i="4"/>
  <c r="X12" i="4" s="1"/>
  <c r="S11" i="4"/>
  <c r="T11" i="4" s="1"/>
  <c r="P11" i="4"/>
  <c r="O11" i="4"/>
  <c r="K11" i="4"/>
  <c r="L11" i="4" s="1"/>
  <c r="H11" i="4"/>
  <c r="G11" i="4"/>
  <c r="X11" i="4" s="1"/>
  <c r="S10" i="4"/>
  <c r="T10" i="4" s="1"/>
  <c r="P10" i="4"/>
  <c r="O10" i="4"/>
  <c r="K10" i="4"/>
  <c r="X10" i="4" s="1"/>
  <c r="H10" i="4"/>
  <c r="G10" i="4"/>
  <c r="X9" i="4"/>
  <c r="T9" i="4"/>
  <c r="S9" i="4"/>
  <c r="O9" i="4"/>
  <c r="P9" i="4" s="1"/>
  <c r="L9" i="4"/>
  <c r="K9" i="4"/>
  <c r="G9" i="4"/>
  <c r="H9" i="4" s="1"/>
  <c r="T8" i="4"/>
  <c r="S8" i="4"/>
  <c r="O8" i="4"/>
  <c r="P8" i="4" s="1"/>
  <c r="L8" i="4"/>
  <c r="K8" i="4"/>
  <c r="G8" i="4"/>
  <c r="X8" i="4" s="1"/>
  <c r="S7" i="4"/>
  <c r="T7" i="4" s="1"/>
  <c r="P7" i="4"/>
  <c r="O7" i="4"/>
  <c r="K7" i="4"/>
  <c r="L7" i="4" s="1"/>
  <c r="H7" i="4"/>
  <c r="G7" i="4"/>
  <c r="X7" i="4" s="1"/>
  <c r="S6" i="4"/>
  <c r="T6" i="4" s="1"/>
  <c r="P6" i="4"/>
  <c r="O6" i="4"/>
  <c r="K6" i="4"/>
  <c r="X6" i="4" s="1"/>
  <c r="H6" i="4"/>
  <c r="G6" i="4"/>
  <c r="X5" i="4"/>
  <c r="T5" i="4"/>
  <c r="S5" i="4"/>
  <c r="O5" i="4"/>
  <c r="P5" i="4" s="1"/>
  <c r="L5" i="4"/>
  <c r="K5" i="4"/>
  <c r="G5" i="4"/>
  <c r="H5" i="4" s="1"/>
  <c r="U5" i="4" s="1"/>
  <c r="H9" i="2"/>
  <c r="H8" i="2"/>
  <c r="H7" i="2"/>
  <c r="H6" i="2"/>
  <c r="H5" i="2"/>
  <c r="H4" i="2"/>
  <c r="Y25" i="7" l="1"/>
  <c r="Y30" i="7"/>
  <c r="AC30" i="7" s="1"/>
  <c r="Y6" i="7"/>
  <c r="Z6" i="7" s="1"/>
  <c r="AA6" i="7" s="1"/>
  <c r="Y12" i="7"/>
  <c r="AC12" i="7" s="1"/>
  <c r="Y36" i="7"/>
  <c r="AC36" i="7" s="1"/>
  <c r="Y39" i="7"/>
  <c r="AC39" i="7" s="1"/>
  <c r="Y44" i="7"/>
  <c r="Z44" i="7" s="1"/>
  <c r="AA44" i="7" s="1"/>
  <c r="Z19" i="8"/>
  <c r="Z25" i="8"/>
  <c r="Z21" i="8"/>
  <c r="Z27" i="8"/>
  <c r="AA27" i="8" s="1"/>
  <c r="AB27" i="8" s="1"/>
  <c r="Z12" i="8"/>
  <c r="Z35" i="8"/>
  <c r="Z43" i="8"/>
  <c r="AD43" i="8" s="1"/>
  <c r="Z30" i="8"/>
  <c r="AD30" i="8" s="1"/>
  <c r="Z17" i="8"/>
  <c r="AA17" i="8" s="1"/>
  <c r="AB17" i="8" s="1"/>
  <c r="Y15" i="4"/>
  <c r="V15" i="4"/>
  <c r="W15" i="4" s="1"/>
  <c r="U9" i="4"/>
  <c r="U10" i="4"/>
  <c r="U19" i="4"/>
  <c r="U25" i="4"/>
  <c r="Y30" i="4"/>
  <c r="V30" i="4"/>
  <c r="W30" i="4" s="1"/>
  <c r="U7" i="4"/>
  <c r="V13" i="4"/>
  <c r="W13" i="4" s="1"/>
  <c r="Y13" i="4"/>
  <c r="U23" i="4"/>
  <c r="V31" i="4"/>
  <c r="W31" i="4" s="1"/>
  <c r="Y31" i="4"/>
  <c r="V35" i="4"/>
  <c r="W35" i="4" s="1"/>
  <c r="Y35" i="4"/>
  <c r="Y38" i="4"/>
  <c r="V38" i="4"/>
  <c r="W38" i="4" s="1"/>
  <c r="Z6" i="5"/>
  <c r="AA6" i="5" s="1"/>
  <c r="AC6" i="5"/>
  <c r="Z10" i="5"/>
  <c r="AA10" i="5" s="1"/>
  <c r="AC10" i="5"/>
  <c r="Z14" i="5"/>
  <c r="AA14" i="5" s="1"/>
  <c r="AC14" i="5"/>
  <c r="Z18" i="5"/>
  <c r="AA18" i="5" s="1"/>
  <c r="AC18" i="5"/>
  <c r="Z22" i="5"/>
  <c r="AA22" i="5" s="1"/>
  <c r="AC22" i="5"/>
  <c r="Z26" i="5"/>
  <c r="AA26" i="5" s="1"/>
  <c r="AC26" i="5"/>
  <c r="V5" i="4"/>
  <c r="W5" i="4" s="1"/>
  <c r="V21" i="4"/>
  <c r="W21" i="4" s="1"/>
  <c r="Y21" i="4"/>
  <c r="U11" i="4"/>
  <c r="V17" i="4"/>
  <c r="W17" i="4" s="1"/>
  <c r="Y17" i="4"/>
  <c r="U27" i="4"/>
  <c r="V39" i="4"/>
  <c r="W39" i="4" s="1"/>
  <c r="Y39" i="4"/>
  <c r="V43" i="4"/>
  <c r="W43" i="4" s="1"/>
  <c r="Y43" i="4"/>
  <c r="U37" i="4"/>
  <c r="Y5" i="5"/>
  <c r="Y9" i="5"/>
  <c r="Y13" i="5"/>
  <c r="Y17" i="5"/>
  <c r="Y21" i="5"/>
  <c r="Y25" i="5"/>
  <c r="Z30" i="5"/>
  <c r="AA30" i="5" s="1"/>
  <c r="AC30" i="5"/>
  <c r="AC40" i="5"/>
  <c r="Z40" i="5"/>
  <c r="AA40" i="5" s="1"/>
  <c r="AC44" i="5"/>
  <c r="Z44" i="5"/>
  <c r="AA44" i="5" s="1"/>
  <c r="Z45" i="5"/>
  <c r="AA45" i="5" s="1"/>
  <c r="AC45" i="5"/>
  <c r="AB5" i="6"/>
  <c r="L5" i="6"/>
  <c r="Y5" i="6" s="1"/>
  <c r="AC15" i="6"/>
  <c r="Z15" i="6"/>
  <c r="AA15" i="6" s="1"/>
  <c r="AB23" i="6"/>
  <c r="H23" i="6"/>
  <c r="Y23" i="6" s="1"/>
  <c r="AB39" i="6"/>
  <c r="H39" i="6"/>
  <c r="Y39" i="6" s="1"/>
  <c r="L6" i="4"/>
  <c r="U6" i="4" s="1"/>
  <c r="H8" i="4"/>
  <c r="U8" i="4" s="1"/>
  <c r="L10" i="4"/>
  <c r="H12" i="4"/>
  <c r="U12" i="4" s="1"/>
  <c r="L14" i="4"/>
  <c r="U14" i="4" s="1"/>
  <c r="H16" i="4"/>
  <c r="U16" i="4" s="1"/>
  <c r="L18" i="4"/>
  <c r="U18" i="4" s="1"/>
  <c r="H20" i="4"/>
  <c r="U20" i="4" s="1"/>
  <c r="L22" i="4"/>
  <c r="U22" i="4" s="1"/>
  <c r="H24" i="4"/>
  <c r="U24" i="4" s="1"/>
  <c r="L26" i="4"/>
  <c r="U26" i="4" s="1"/>
  <c r="H28" i="4"/>
  <c r="U28" i="4" s="1"/>
  <c r="V29" i="4"/>
  <c r="W29" i="4" s="1"/>
  <c r="U32" i="4"/>
  <c r="X34" i="4"/>
  <c r="X35" i="4"/>
  <c r="L36" i="4"/>
  <c r="X37" i="4"/>
  <c r="L37" i="4"/>
  <c r="U40" i="4"/>
  <c r="X42" i="4"/>
  <c r="X43" i="4"/>
  <c r="L44" i="4"/>
  <c r="X45" i="4"/>
  <c r="L45" i="4"/>
  <c r="U45" i="4" s="1"/>
  <c r="AB29" i="5"/>
  <c r="H29" i="5"/>
  <c r="Y29" i="5" s="1"/>
  <c r="AB39" i="5"/>
  <c r="H39" i="5"/>
  <c r="Y39" i="5" s="1"/>
  <c r="AB41" i="5"/>
  <c r="H41" i="5"/>
  <c r="Y41" i="5" s="1"/>
  <c r="Z42" i="5"/>
  <c r="AA42" i="5" s="1"/>
  <c r="AC42" i="5"/>
  <c r="AB45" i="5"/>
  <c r="AB14" i="6"/>
  <c r="H14" i="6"/>
  <c r="Y14" i="6" s="1"/>
  <c r="AB16" i="6"/>
  <c r="H16" i="6"/>
  <c r="Y16" i="6" s="1"/>
  <c r="Z17" i="6"/>
  <c r="AA17" i="6" s="1"/>
  <c r="AC17" i="6"/>
  <c r="AB43" i="6"/>
  <c r="L43" i="6"/>
  <c r="Y43" i="6" s="1"/>
  <c r="AB9" i="7"/>
  <c r="AB28" i="7"/>
  <c r="H28" i="7"/>
  <c r="Y28" i="7" s="1"/>
  <c r="H34" i="4"/>
  <c r="U34" i="4" s="1"/>
  <c r="U41" i="4"/>
  <c r="H42" i="4"/>
  <c r="U42" i="4" s="1"/>
  <c r="AB6" i="5"/>
  <c r="AB8" i="5"/>
  <c r="H8" i="5"/>
  <c r="Y8" i="5" s="1"/>
  <c r="AB10" i="5"/>
  <c r="AB12" i="5"/>
  <c r="H12" i="5"/>
  <c r="Y12" i="5" s="1"/>
  <c r="AB14" i="5"/>
  <c r="AB16" i="5"/>
  <c r="H16" i="5"/>
  <c r="Y16" i="5" s="1"/>
  <c r="AB18" i="5"/>
  <c r="AB20" i="5"/>
  <c r="H20" i="5"/>
  <c r="Y20" i="5" s="1"/>
  <c r="AB22" i="5"/>
  <c r="AB24" i="5"/>
  <c r="H24" i="5"/>
  <c r="Y24" i="5" s="1"/>
  <c r="AB26" i="5"/>
  <c r="Y36" i="5"/>
  <c r="Y37" i="5"/>
  <c r="AB38" i="5"/>
  <c r="L38" i="5"/>
  <c r="Y38" i="5" s="1"/>
  <c r="AC7" i="6"/>
  <c r="Z7" i="6"/>
  <c r="AA7" i="6" s="1"/>
  <c r="Y11" i="6"/>
  <c r="Y12" i="6"/>
  <c r="AB13" i="6"/>
  <c r="L13" i="6"/>
  <c r="Y13" i="6" s="1"/>
  <c r="L14" i="7"/>
  <c r="Y14" i="7" s="1"/>
  <c r="AB14" i="7"/>
  <c r="AB34" i="7"/>
  <c r="L34" i="7"/>
  <c r="Z39" i="7"/>
  <c r="AA39" i="7" s="1"/>
  <c r="X29" i="4"/>
  <c r="X31" i="4"/>
  <c r="X33" i="4"/>
  <c r="L33" i="4"/>
  <c r="U33" i="4" s="1"/>
  <c r="U36" i="4"/>
  <c r="X39" i="4"/>
  <c r="X41" i="4"/>
  <c r="L41" i="4"/>
  <c r="U44" i="4"/>
  <c r="AB33" i="5"/>
  <c r="H33" i="5"/>
  <c r="Y33" i="5" s="1"/>
  <c r="Y34" i="5"/>
  <c r="AB37" i="5"/>
  <c r="AB6" i="6"/>
  <c r="H6" i="6"/>
  <c r="Y6" i="6" s="1"/>
  <c r="AB8" i="6"/>
  <c r="H8" i="6"/>
  <c r="Y8" i="6" s="1"/>
  <c r="Y9" i="6"/>
  <c r="AB12" i="6"/>
  <c r="AB19" i="6"/>
  <c r="H19" i="6"/>
  <c r="Y19" i="6" s="1"/>
  <c r="Y20" i="6"/>
  <c r="AB21" i="6"/>
  <c r="L21" i="6"/>
  <c r="Y21" i="6" s="1"/>
  <c r="Z28" i="6"/>
  <c r="AA28" i="6" s="1"/>
  <c r="AC28" i="6"/>
  <c r="AB37" i="6"/>
  <c r="L37" i="6"/>
  <c r="Y37" i="6" s="1"/>
  <c r="AB36" i="5"/>
  <c r="AB44" i="5"/>
  <c r="AB11" i="6"/>
  <c r="AB20" i="6"/>
  <c r="Y24" i="6"/>
  <c r="AB33" i="6"/>
  <c r="L33" i="6"/>
  <c r="Y33" i="6" s="1"/>
  <c r="AB35" i="6"/>
  <c r="H35" i="6"/>
  <c r="Y35" i="6" s="1"/>
  <c r="Y40" i="6"/>
  <c r="Z25" i="7"/>
  <c r="AA25" i="7" s="1"/>
  <c r="AC25" i="7"/>
  <c r="L33" i="7"/>
  <c r="AB33" i="7"/>
  <c r="Z40" i="7"/>
  <c r="AA40" i="7" s="1"/>
  <c r="AC40" i="7"/>
  <c r="H28" i="5"/>
  <c r="Y28" i="5" s="1"/>
  <c r="H32" i="5"/>
  <c r="Y32" i="5" s="1"/>
  <c r="AB35" i="5"/>
  <c r="H35" i="5"/>
  <c r="Y35" i="5" s="1"/>
  <c r="AB43" i="5"/>
  <c r="H43" i="5"/>
  <c r="Y43" i="5" s="1"/>
  <c r="AB10" i="6"/>
  <c r="H10" i="6"/>
  <c r="Y10" i="6" s="1"/>
  <c r="AB29" i="6"/>
  <c r="L29" i="6"/>
  <c r="Y29" i="6" s="1"/>
  <c r="AB31" i="6"/>
  <c r="H31" i="6"/>
  <c r="Y31" i="6" s="1"/>
  <c r="Y36" i="6"/>
  <c r="AC45" i="6"/>
  <c r="Z45" i="6"/>
  <c r="AA45" i="6" s="1"/>
  <c r="Y8" i="7"/>
  <c r="AB11" i="7"/>
  <c r="H11" i="7"/>
  <c r="Y11" i="7" s="1"/>
  <c r="AB13" i="7"/>
  <c r="H13" i="7"/>
  <c r="Y13" i="7" s="1"/>
  <c r="AB21" i="7"/>
  <c r="H21" i="7"/>
  <c r="Y21" i="7" s="1"/>
  <c r="AB35" i="7"/>
  <c r="H35" i="7"/>
  <c r="Y35" i="7" s="1"/>
  <c r="L41" i="7"/>
  <c r="AB41" i="7"/>
  <c r="H7" i="5"/>
  <c r="Y7" i="5" s="1"/>
  <c r="H11" i="5"/>
  <c r="Y11" i="5" s="1"/>
  <c r="H15" i="5"/>
  <c r="Y15" i="5" s="1"/>
  <c r="H19" i="5"/>
  <c r="Y19" i="5" s="1"/>
  <c r="H23" i="5"/>
  <c r="Y23" i="5" s="1"/>
  <c r="H27" i="5"/>
  <c r="Y27" i="5" s="1"/>
  <c r="H31" i="5"/>
  <c r="Y31" i="5" s="1"/>
  <c r="AB25" i="6"/>
  <c r="L25" i="6"/>
  <c r="Y25" i="6" s="1"/>
  <c r="AB27" i="6"/>
  <c r="H27" i="6"/>
  <c r="Y27" i="6" s="1"/>
  <c r="Y32" i="6"/>
  <c r="AB41" i="6"/>
  <c r="L41" i="6"/>
  <c r="Y41" i="6" s="1"/>
  <c r="Y42" i="6"/>
  <c r="AB44" i="6"/>
  <c r="H44" i="6"/>
  <c r="Y44" i="6" s="1"/>
  <c r="AB5" i="7"/>
  <c r="H5" i="7"/>
  <c r="Y5" i="7" s="1"/>
  <c r="Y9" i="7"/>
  <c r="AB10" i="7"/>
  <c r="L10" i="7"/>
  <c r="Y10" i="7" s="1"/>
  <c r="Y34" i="7"/>
  <c r="AB8" i="7"/>
  <c r="Y17" i="7"/>
  <c r="AB26" i="7"/>
  <c r="L26" i="7"/>
  <c r="Y26" i="7" s="1"/>
  <c r="AB27" i="7"/>
  <c r="H27" i="7"/>
  <c r="Y27" i="7" s="1"/>
  <c r="Y32" i="7"/>
  <c r="AB40" i="7"/>
  <c r="H18" i="6"/>
  <c r="Y18" i="6" s="1"/>
  <c r="H22" i="6"/>
  <c r="Y22" i="6" s="1"/>
  <c r="H26" i="6"/>
  <c r="Y26" i="6" s="1"/>
  <c r="H30" i="6"/>
  <c r="Y30" i="6" s="1"/>
  <c r="H34" i="6"/>
  <c r="Y34" i="6" s="1"/>
  <c r="H38" i="6"/>
  <c r="Y38" i="6" s="1"/>
  <c r="AB7" i="7"/>
  <c r="H7" i="7"/>
  <c r="Y7" i="7" s="1"/>
  <c r="AB18" i="7"/>
  <c r="L18" i="7"/>
  <c r="Y18" i="7" s="1"/>
  <c r="AB19" i="7"/>
  <c r="H19" i="7"/>
  <c r="Y19" i="7" s="1"/>
  <c r="H20" i="7"/>
  <c r="Y20" i="7" s="1"/>
  <c r="Y22" i="7"/>
  <c r="Y24" i="7"/>
  <c r="AB25" i="7"/>
  <c r="Z30" i="7"/>
  <c r="AA30" i="7" s="1"/>
  <c r="AB37" i="7"/>
  <c r="H37" i="7"/>
  <c r="Y37" i="7" s="1"/>
  <c r="AB16" i="7"/>
  <c r="H16" i="7"/>
  <c r="Y16" i="7" s="1"/>
  <c r="AB29" i="7"/>
  <c r="H29" i="7"/>
  <c r="Y29" i="7" s="1"/>
  <c r="Y33" i="7"/>
  <c r="Y41" i="7"/>
  <c r="AB42" i="7"/>
  <c r="H42" i="7"/>
  <c r="Y42" i="7" s="1"/>
  <c r="Y43" i="7"/>
  <c r="AC7" i="8"/>
  <c r="H7" i="8"/>
  <c r="Z7" i="8" s="1"/>
  <c r="L8" i="8"/>
  <c r="Z8" i="8" s="1"/>
  <c r="AC8" i="8"/>
  <c r="AB24" i="7"/>
  <c r="AB32" i="7"/>
  <c r="Y38" i="7"/>
  <c r="AB44" i="7"/>
  <c r="AC11" i="8"/>
  <c r="H11" i="8"/>
  <c r="Z11" i="8" s="1"/>
  <c r="H15" i="7"/>
  <c r="Y15" i="7" s="1"/>
  <c r="AB23" i="7"/>
  <c r="H23" i="7"/>
  <c r="Y23" i="7" s="1"/>
  <c r="AB31" i="7"/>
  <c r="H31" i="7"/>
  <c r="Y31" i="7" s="1"/>
  <c r="L45" i="7"/>
  <c r="Y45" i="7" s="1"/>
  <c r="AA12" i="8"/>
  <c r="AB12" i="8" s="1"/>
  <c r="AD12" i="8"/>
  <c r="AC15" i="8"/>
  <c r="L15" i="8"/>
  <c r="Z15" i="8" s="1"/>
  <c r="AC16" i="8"/>
  <c r="H16" i="8"/>
  <c r="Z16" i="8" s="1"/>
  <c r="AD17" i="8"/>
  <c r="AD21" i="8"/>
  <c r="AA21" i="8"/>
  <c r="AB21" i="8" s="1"/>
  <c r="AC24" i="8"/>
  <c r="H24" i="8"/>
  <c r="Z24" i="8" s="1"/>
  <c r="AC26" i="8"/>
  <c r="H26" i="8"/>
  <c r="Z26" i="8" s="1"/>
  <c r="AA30" i="8"/>
  <c r="AB30" i="8" s="1"/>
  <c r="AC31" i="8"/>
  <c r="L31" i="8"/>
  <c r="Z31" i="8" s="1"/>
  <c r="AA43" i="8"/>
  <c r="AB43" i="8" s="1"/>
  <c r="AB38" i="7"/>
  <c r="AC5" i="8"/>
  <c r="AC9" i="8"/>
  <c r="Z13" i="8"/>
  <c r="AC14" i="8"/>
  <c r="AC18" i="8"/>
  <c r="H18" i="8"/>
  <c r="Z18" i="8" s="1"/>
  <c r="Z22" i="8"/>
  <c r="AC23" i="8"/>
  <c r="L23" i="8"/>
  <c r="Z23" i="8" s="1"/>
  <c r="AC30" i="8"/>
  <c r="Z34" i="8"/>
  <c r="AA19" i="8"/>
  <c r="AB19" i="8" s="1"/>
  <c r="AD19" i="8"/>
  <c r="AC22" i="8"/>
  <c r="AA35" i="8"/>
  <c r="AB35" i="8" s="1"/>
  <c r="AD35" i="8"/>
  <c r="AD38" i="8"/>
  <c r="AA38" i="8"/>
  <c r="AB38" i="8" s="1"/>
  <c r="AC6" i="8"/>
  <c r="H6" i="8"/>
  <c r="Z6" i="8" s="1"/>
  <c r="AC10" i="8"/>
  <c r="H10" i="8"/>
  <c r="Z10" i="8" s="1"/>
  <c r="AC12" i="8"/>
  <c r="Z14" i="8"/>
  <c r="AD25" i="8"/>
  <c r="AA25" i="8"/>
  <c r="AB25" i="8" s="1"/>
  <c r="Z29" i="8"/>
  <c r="Z39" i="8"/>
  <c r="Z42" i="8"/>
  <c r="AC13" i="8"/>
  <c r="AC21" i="8"/>
  <c r="AC29" i="8"/>
  <c r="G6" i="19"/>
  <c r="I6" i="19" s="1"/>
  <c r="H5" i="8"/>
  <c r="Z5" i="8" s="1"/>
  <c r="H9" i="8"/>
  <c r="Z9" i="8" s="1"/>
  <c r="AC20" i="8"/>
  <c r="H20" i="8"/>
  <c r="Z20" i="8" s="1"/>
  <c r="AC28" i="8"/>
  <c r="H28" i="8"/>
  <c r="Z28" i="8" s="1"/>
  <c r="AC33" i="8"/>
  <c r="H33" i="8"/>
  <c r="Z33" i="8" s="1"/>
  <c r="AC35" i="8"/>
  <c r="AC37" i="8"/>
  <c r="H37" i="8"/>
  <c r="Z37" i="8" s="1"/>
  <c r="AC39" i="8"/>
  <c r="AC41" i="8"/>
  <c r="H41" i="8"/>
  <c r="Z41" i="8" s="1"/>
  <c r="AC43" i="8"/>
  <c r="AC45" i="8"/>
  <c r="H45" i="8"/>
  <c r="Z45" i="8" s="1"/>
  <c r="H32" i="8"/>
  <c r="Z32" i="8" s="1"/>
  <c r="H36" i="8"/>
  <c r="Z36" i="8" s="1"/>
  <c r="H40" i="8"/>
  <c r="Z40" i="8" s="1"/>
  <c r="H44" i="8"/>
  <c r="Z44" i="8" s="1"/>
  <c r="H30" i="18"/>
  <c r="E30" i="18"/>
  <c r="AC44" i="7" l="1"/>
  <c r="Z12" i="7"/>
  <c r="AA12" i="7" s="1"/>
  <c r="AC6" i="7"/>
  <c r="Z36" i="7"/>
  <c r="AA36" i="7" s="1"/>
  <c r="AD27" i="8"/>
  <c r="Z14" i="7"/>
  <c r="AA14" i="7" s="1"/>
  <c r="AC14" i="7"/>
  <c r="V26" i="4"/>
  <c r="W26" i="4" s="1"/>
  <c r="Y26" i="4"/>
  <c r="V18" i="4"/>
  <c r="W18" i="4" s="1"/>
  <c r="Y18" i="4"/>
  <c r="Y33" i="4"/>
  <c r="V33" i="4"/>
  <c r="W33" i="4" s="1"/>
  <c r="Z26" i="7"/>
  <c r="AA26" i="7" s="1"/>
  <c r="AC26" i="7"/>
  <c r="Y45" i="4"/>
  <c r="V45" i="4"/>
  <c r="W45" i="4" s="1"/>
  <c r="V22" i="4"/>
  <c r="W22" i="4" s="1"/>
  <c r="Y22" i="4"/>
  <c r="V14" i="4"/>
  <c r="W14" i="4" s="1"/>
  <c r="Y14" i="4"/>
  <c r="V6" i="4"/>
  <c r="W6" i="4" s="1"/>
  <c r="Y6" i="4"/>
  <c r="Y5" i="4"/>
  <c r="AD33" i="8"/>
  <c r="AA33" i="8"/>
  <c r="AB33" i="8" s="1"/>
  <c r="AD42" i="8"/>
  <c r="AA42" i="8"/>
  <c r="AB42" i="8" s="1"/>
  <c r="AD13" i="8"/>
  <c r="AA13" i="8"/>
  <c r="AB13" i="8" s="1"/>
  <c r="AC43" i="7"/>
  <c r="Z43" i="7"/>
  <c r="AA43" i="7" s="1"/>
  <c r="AC19" i="7"/>
  <c r="Z19" i="7"/>
  <c r="AA19" i="7" s="1"/>
  <c r="AD44" i="8"/>
  <c r="AA44" i="8"/>
  <c r="AB44" i="8" s="1"/>
  <c r="AD45" i="8"/>
  <c r="AA45" i="8"/>
  <c r="AB45" i="8" s="1"/>
  <c r="AD5" i="8"/>
  <c r="AA5" i="8"/>
  <c r="AB5" i="8" s="1"/>
  <c r="AD10" i="8"/>
  <c r="AA10" i="8"/>
  <c r="AB10" i="8" s="1"/>
  <c r="Z23" i="7"/>
  <c r="AA23" i="7" s="1"/>
  <c r="AC23" i="7"/>
  <c r="Z41" i="7"/>
  <c r="AA41" i="7" s="1"/>
  <c r="AC41" i="7"/>
  <c r="AC16" i="7"/>
  <c r="Z16" i="7"/>
  <c r="AA16" i="7" s="1"/>
  <c r="AC20" i="7"/>
  <c r="Z20" i="7"/>
  <c r="AA20" i="7" s="1"/>
  <c r="AC34" i="6"/>
  <c r="Z34" i="6"/>
  <c r="AA34" i="6" s="1"/>
  <c r="AC18" i="6"/>
  <c r="Z18" i="6"/>
  <c r="AA18" i="6" s="1"/>
  <c r="AC10" i="7"/>
  <c r="Z10" i="7"/>
  <c r="AA10" i="7" s="1"/>
  <c r="Z41" i="6"/>
  <c r="AA41" i="6" s="1"/>
  <c r="AC41" i="6"/>
  <c r="Z27" i="5"/>
  <c r="AA27" i="5" s="1"/>
  <c r="AC27" i="5"/>
  <c r="AC11" i="5"/>
  <c r="Z11" i="5"/>
  <c r="AA11" i="5" s="1"/>
  <c r="AC35" i="7"/>
  <c r="Z35" i="7"/>
  <c r="AA35" i="7" s="1"/>
  <c r="Z13" i="7"/>
  <c r="AA13" i="7" s="1"/>
  <c r="AC13" i="7"/>
  <c r="AC8" i="7"/>
  <c r="Z8" i="7"/>
  <c r="AA8" i="7" s="1"/>
  <c r="Z31" i="6"/>
  <c r="AA31" i="6" s="1"/>
  <c r="AC31" i="6"/>
  <c r="Z10" i="6"/>
  <c r="AA10" i="6" s="1"/>
  <c r="AC10" i="6"/>
  <c r="Z35" i="5"/>
  <c r="AA35" i="5" s="1"/>
  <c r="AC35" i="5"/>
  <c r="Z20" i="6"/>
  <c r="AA20" i="6" s="1"/>
  <c r="AC20" i="6"/>
  <c r="Z9" i="6"/>
  <c r="AA9" i="6" s="1"/>
  <c r="AC9" i="6"/>
  <c r="Z12" i="6"/>
  <c r="AA12" i="6" s="1"/>
  <c r="AC12" i="6"/>
  <c r="AC38" i="5"/>
  <c r="Z38" i="5"/>
  <c r="AA38" i="5" s="1"/>
  <c r="AC20" i="5"/>
  <c r="Z20" i="5"/>
  <c r="AA20" i="5" s="1"/>
  <c r="Y42" i="4"/>
  <c r="V42" i="4"/>
  <c r="W42" i="4" s="1"/>
  <c r="AC28" i="7"/>
  <c r="Z28" i="7"/>
  <c r="AA28" i="7" s="1"/>
  <c r="AC39" i="5"/>
  <c r="Z39" i="5"/>
  <c r="AA39" i="5" s="1"/>
  <c r="Z13" i="5"/>
  <c r="AA13" i="5" s="1"/>
  <c r="AC13" i="5"/>
  <c r="Y37" i="4"/>
  <c r="V37" i="4"/>
  <c r="W37" i="4" s="1"/>
  <c r="V10" i="4"/>
  <c r="W10" i="4" s="1"/>
  <c r="Y10" i="4"/>
  <c r="Y23" i="4"/>
  <c r="V23" i="4"/>
  <c r="W23" i="4" s="1"/>
  <c r="Y7" i="4"/>
  <c r="V7" i="4"/>
  <c r="W7" i="4" s="1"/>
  <c r="V9" i="4"/>
  <c r="W9" i="4" s="1"/>
  <c r="Y9" i="4"/>
  <c r="AD40" i="8"/>
  <c r="AA40" i="8"/>
  <c r="AB40" i="8" s="1"/>
  <c r="AD24" i="8"/>
  <c r="AA24" i="8"/>
  <c r="AB24" i="8" s="1"/>
  <c r="Z45" i="7"/>
  <c r="AA45" i="7" s="1"/>
  <c r="AC45" i="7"/>
  <c r="Z33" i="7"/>
  <c r="AA33" i="7" s="1"/>
  <c r="AC33" i="7"/>
  <c r="Z7" i="7"/>
  <c r="AA7" i="7" s="1"/>
  <c r="AC7" i="7"/>
  <c r="Z34" i="7"/>
  <c r="AA34" i="7" s="1"/>
  <c r="AC34" i="7"/>
  <c r="AC44" i="6"/>
  <c r="Z44" i="6"/>
  <c r="AA44" i="6" s="1"/>
  <c r="AC23" i="5"/>
  <c r="Z23" i="5"/>
  <c r="AA23" i="5" s="1"/>
  <c r="Z33" i="6"/>
  <c r="AA33" i="6" s="1"/>
  <c r="AC33" i="6"/>
  <c r="AC19" i="6"/>
  <c r="Z19" i="6"/>
  <c r="AA19" i="6" s="1"/>
  <c r="V36" i="4"/>
  <c r="W36" i="4" s="1"/>
  <c r="Y36" i="4"/>
  <c r="AC11" i="6"/>
  <c r="Z11" i="6"/>
  <c r="AA11" i="6" s="1"/>
  <c r="AC24" i="5"/>
  <c r="Z24" i="5"/>
  <c r="AA24" i="5" s="1"/>
  <c r="AC8" i="5"/>
  <c r="Z8" i="5"/>
  <c r="AA8" i="5" s="1"/>
  <c r="Y41" i="4"/>
  <c r="V41" i="4"/>
  <c r="W41" i="4" s="1"/>
  <c r="V40" i="4"/>
  <c r="W40" i="4" s="1"/>
  <c r="Y40" i="4"/>
  <c r="V28" i="4"/>
  <c r="W28" i="4" s="1"/>
  <c r="Y28" i="4"/>
  <c r="V20" i="4"/>
  <c r="W20" i="4" s="1"/>
  <c r="Y20" i="4"/>
  <c r="V12" i="4"/>
  <c r="W12" i="4" s="1"/>
  <c r="Y12" i="4"/>
  <c r="Z39" i="6"/>
  <c r="AA39" i="6" s="1"/>
  <c r="AC39" i="6"/>
  <c r="Z25" i="5"/>
  <c r="AA25" i="5" s="1"/>
  <c r="AC25" i="5"/>
  <c r="Z9" i="5"/>
  <c r="AA9" i="5" s="1"/>
  <c r="AC9" i="5"/>
  <c r="Y27" i="4"/>
  <c r="V27" i="4"/>
  <c r="W27" i="4" s="1"/>
  <c r="Y11" i="4"/>
  <c r="V11" i="4"/>
  <c r="W11" i="4" s="1"/>
  <c r="AD36" i="8"/>
  <c r="AA36" i="8"/>
  <c r="AB36" i="8" s="1"/>
  <c r="AD37" i="8"/>
  <c r="AA37" i="8"/>
  <c r="AB37" i="8" s="1"/>
  <c r="AA39" i="8"/>
  <c r="AB39" i="8" s="1"/>
  <c r="AD39" i="8"/>
  <c r="AA14" i="8"/>
  <c r="AB14" i="8" s="1"/>
  <c r="AD14" i="8"/>
  <c r="AD6" i="8"/>
  <c r="AA6" i="8"/>
  <c r="AB6" i="8" s="1"/>
  <c r="AA18" i="8"/>
  <c r="AB18" i="8" s="1"/>
  <c r="AD18" i="8"/>
  <c r="Z31" i="7"/>
  <c r="AA31" i="7" s="1"/>
  <c r="AC31" i="7"/>
  <c r="AC15" i="7"/>
  <c r="Z15" i="7"/>
  <c r="AA15" i="7" s="1"/>
  <c r="AC38" i="7"/>
  <c r="Z38" i="7"/>
  <c r="AA38" i="7" s="1"/>
  <c r="AA8" i="8"/>
  <c r="AB8" i="8" s="1"/>
  <c r="AD8" i="8"/>
  <c r="AC42" i="7"/>
  <c r="Z42" i="7"/>
  <c r="AA42" i="7" s="1"/>
  <c r="Z29" i="7"/>
  <c r="AA29" i="7" s="1"/>
  <c r="AC29" i="7"/>
  <c r="Z37" i="7"/>
  <c r="AA37" i="7" s="1"/>
  <c r="AC37" i="7"/>
  <c r="AC24" i="7"/>
  <c r="Z24" i="7"/>
  <c r="AA24" i="7" s="1"/>
  <c r="AC26" i="6"/>
  <c r="Z26" i="6"/>
  <c r="AA26" i="6" s="1"/>
  <c r="AC32" i="7"/>
  <c r="Z32" i="7"/>
  <c r="AA32" i="7" s="1"/>
  <c r="Z9" i="7"/>
  <c r="AA9" i="7" s="1"/>
  <c r="AC9" i="7"/>
  <c r="Z32" i="6"/>
  <c r="AA32" i="6" s="1"/>
  <c r="AC32" i="6"/>
  <c r="AC19" i="5"/>
  <c r="Z19" i="5"/>
  <c r="AA19" i="5" s="1"/>
  <c r="Z21" i="7"/>
  <c r="AA21" i="7" s="1"/>
  <c r="AC21" i="7"/>
  <c r="AC11" i="7"/>
  <c r="Z11" i="7"/>
  <c r="AA11" i="7" s="1"/>
  <c r="Z29" i="6"/>
  <c r="AA29" i="6" s="1"/>
  <c r="AC29" i="6"/>
  <c r="Z43" i="5"/>
  <c r="AA43" i="5" s="1"/>
  <c r="AC43" i="5"/>
  <c r="AC32" i="5"/>
  <c r="Z32" i="5"/>
  <c r="AA32" i="5" s="1"/>
  <c r="Z40" i="6"/>
  <c r="AA40" i="6" s="1"/>
  <c r="AC40" i="6"/>
  <c r="Z37" i="6"/>
  <c r="AA37" i="6" s="1"/>
  <c r="AC37" i="6"/>
  <c r="Z21" i="6"/>
  <c r="AA21" i="6" s="1"/>
  <c r="AC21" i="6"/>
  <c r="Z34" i="5"/>
  <c r="AA34" i="5" s="1"/>
  <c r="AC34" i="5"/>
  <c r="AC13" i="6"/>
  <c r="Z13" i="6"/>
  <c r="AA13" i="6" s="1"/>
  <c r="Z37" i="5"/>
  <c r="AA37" i="5" s="1"/>
  <c r="AC37" i="5"/>
  <c r="AC12" i="5"/>
  <c r="Z12" i="5"/>
  <c r="AA12" i="5" s="1"/>
  <c r="Y34" i="4"/>
  <c r="V34" i="4"/>
  <c r="W34" i="4" s="1"/>
  <c r="Z41" i="5"/>
  <c r="AA41" i="5" s="1"/>
  <c r="AC41" i="5"/>
  <c r="Z29" i="5"/>
  <c r="AA29" i="5" s="1"/>
  <c r="AC29" i="5"/>
  <c r="Z21" i="5"/>
  <c r="AA21" i="5" s="1"/>
  <c r="AC21" i="5"/>
  <c r="Z5" i="5"/>
  <c r="AA5" i="5" s="1"/>
  <c r="AC5" i="5"/>
  <c r="V25" i="4"/>
  <c r="W25" i="4" s="1"/>
  <c r="Y25" i="4"/>
  <c r="AA20" i="8"/>
  <c r="AB20" i="8" s="1"/>
  <c r="AD20" i="8"/>
  <c r="AA22" i="8"/>
  <c r="AB22" i="8" s="1"/>
  <c r="AD22" i="8"/>
  <c r="AA15" i="8"/>
  <c r="AB15" i="8" s="1"/>
  <c r="AD15" i="8"/>
  <c r="AC30" i="6"/>
  <c r="Z30" i="6"/>
  <c r="AA30" i="6" s="1"/>
  <c r="Z25" i="6"/>
  <c r="AA25" i="6" s="1"/>
  <c r="AC25" i="6"/>
  <c r="AC7" i="5"/>
  <c r="Z7" i="5"/>
  <c r="AA7" i="5" s="1"/>
  <c r="Z8" i="6"/>
  <c r="AA8" i="6" s="1"/>
  <c r="AC8" i="6"/>
  <c r="V44" i="4"/>
  <c r="W44" i="4" s="1"/>
  <c r="Y44" i="4"/>
  <c r="AC14" i="6"/>
  <c r="Z14" i="6"/>
  <c r="AA14" i="6" s="1"/>
  <c r="AD32" i="8"/>
  <c r="AA32" i="8"/>
  <c r="AB32" i="8" s="1"/>
  <c r="AD41" i="8"/>
  <c r="AA41" i="8"/>
  <c r="AB41" i="8" s="1"/>
  <c r="AA28" i="8"/>
  <c r="AB28" i="8" s="1"/>
  <c r="AD28" i="8"/>
  <c r="AD9" i="8"/>
  <c r="AA9" i="8"/>
  <c r="AB9" i="8" s="1"/>
  <c r="AD29" i="8"/>
  <c r="AA29" i="8"/>
  <c r="AB29" i="8" s="1"/>
  <c r="AD34" i="8"/>
  <c r="AA34" i="8"/>
  <c r="AB34" i="8" s="1"/>
  <c r="AD23" i="8"/>
  <c r="AA23" i="8"/>
  <c r="AB23" i="8" s="1"/>
  <c r="AD31" i="8"/>
  <c r="AA31" i="8"/>
  <c r="AB31" i="8" s="1"/>
  <c r="AA26" i="8"/>
  <c r="AB26" i="8" s="1"/>
  <c r="AD26" i="8"/>
  <c r="AD16" i="8"/>
  <c r="AA16" i="8"/>
  <c r="AB16" i="8" s="1"/>
  <c r="AA11" i="8"/>
  <c r="AB11" i="8" s="1"/>
  <c r="AD11" i="8"/>
  <c r="AA7" i="8"/>
  <c r="AB7" i="8" s="1"/>
  <c r="AD7" i="8"/>
  <c r="AC22" i="7"/>
  <c r="Z22" i="7"/>
  <c r="AA22" i="7" s="1"/>
  <c r="Z18" i="7"/>
  <c r="AA18" i="7" s="1"/>
  <c r="AC18" i="7"/>
  <c r="AC38" i="6"/>
  <c r="Z38" i="6"/>
  <c r="AA38" i="6" s="1"/>
  <c r="AC22" i="6"/>
  <c r="Z22" i="6"/>
  <c r="AA22" i="6" s="1"/>
  <c r="AC27" i="7"/>
  <c r="Z27" i="7"/>
  <c r="AA27" i="7" s="1"/>
  <c r="Z17" i="7"/>
  <c r="AA17" i="7" s="1"/>
  <c r="AC17" i="7"/>
  <c r="Z5" i="7"/>
  <c r="AA5" i="7" s="1"/>
  <c r="AC5" i="7"/>
  <c r="Z42" i="6"/>
  <c r="AA42" i="6" s="1"/>
  <c r="AC42" i="6"/>
  <c r="Z27" i="6"/>
  <c r="AA27" i="6" s="1"/>
  <c r="AC27" i="6"/>
  <c r="Z31" i="5"/>
  <c r="AA31" i="5" s="1"/>
  <c r="AC31" i="5"/>
  <c r="AC15" i="5"/>
  <c r="Z15" i="5"/>
  <c r="AA15" i="5" s="1"/>
  <c r="Z36" i="6"/>
  <c r="AA36" i="6" s="1"/>
  <c r="AC36" i="6"/>
  <c r="AC28" i="5"/>
  <c r="Z28" i="5"/>
  <c r="AA28" i="5" s="1"/>
  <c r="Z35" i="6"/>
  <c r="AA35" i="6" s="1"/>
  <c r="AC35" i="6"/>
  <c r="Z24" i="6"/>
  <c r="AA24" i="6" s="1"/>
  <c r="AC24" i="6"/>
  <c r="AC6" i="6"/>
  <c r="Z6" i="6"/>
  <c r="AA6" i="6" s="1"/>
  <c r="Z33" i="5"/>
  <c r="AA33" i="5" s="1"/>
  <c r="AC33" i="5"/>
  <c r="AC36" i="5"/>
  <c r="Z36" i="5"/>
  <c r="AA36" i="5" s="1"/>
  <c r="AC16" i="5"/>
  <c r="Z16" i="5"/>
  <c r="AA16" i="5" s="1"/>
  <c r="AC43" i="6"/>
  <c r="Z43" i="6"/>
  <c r="AA43" i="6" s="1"/>
  <c r="Z16" i="6"/>
  <c r="AA16" i="6" s="1"/>
  <c r="AC16" i="6"/>
  <c r="V32" i="4"/>
  <c r="W32" i="4" s="1"/>
  <c r="Y32" i="4"/>
  <c r="V24" i="4"/>
  <c r="W24" i="4" s="1"/>
  <c r="Y24" i="4"/>
  <c r="V16" i="4"/>
  <c r="W16" i="4" s="1"/>
  <c r="Y16" i="4"/>
  <c r="V8" i="4"/>
  <c r="W8" i="4" s="1"/>
  <c r="Y8" i="4"/>
  <c r="Z23" i="6"/>
  <c r="AA23" i="6" s="1"/>
  <c r="AC23" i="6"/>
  <c r="AC5" i="6"/>
  <c r="Z5" i="6"/>
  <c r="AA5" i="6" s="1"/>
  <c r="Z17" i="5"/>
  <c r="AA17" i="5" s="1"/>
  <c r="AC17" i="5"/>
  <c r="Y19" i="4"/>
  <c r="V19" i="4"/>
  <c r="W19" i="4" s="1"/>
</calcChain>
</file>

<file path=xl/sharedStrings.xml><?xml version="1.0" encoding="utf-8"?>
<sst xmlns="http://schemas.openxmlformats.org/spreadsheetml/2006/main" count="617" uniqueCount="312">
  <si>
    <t>المشروع القومي للياقة البدنية بالمعاهد الأزهرية - حزمة سجلات التقييم والمتابعة 2026/2027</t>
  </si>
  <si>
    <t>دليل الاستخدام</t>
  </si>
  <si>
    <t>م</t>
  </si>
  <si>
    <t>الشيت</t>
  </si>
  <si>
    <t>المستوى</t>
  </si>
  <si>
    <t>الغرض</t>
  </si>
  <si>
    <t>تعليمات</t>
  </si>
  <si>
    <t>الجميع</t>
  </si>
  <si>
    <t>هذا الشيت</t>
  </si>
  <si>
    <t>متابعة المراحل</t>
  </si>
  <si>
    <t>المنطقة</t>
  </si>
  <si>
    <t>متابعة مواعيد المراحل الخمس ونسب الإنجاز</t>
  </si>
  <si>
    <t>المساطر</t>
  </si>
  <si>
    <t>الدرجات المعيارية (مسطرة القياس) المنقولة من الدليل - تغذي حساب الدرجات تلقائياً</t>
  </si>
  <si>
    <t>مسح ابتدائي بنين / إعدادي بنين / ثانوي بنين</t>
  </si>
  <si>
    <t>المعهد</t>
  </si>
  <si>
    <t>تسجيل اختبارات كل طالب (حكمان لكل اختبار) وحساب الدرجة والتقدير والترتيب</t>
  </si>
  <si>
    <t>مسح ابتدائي بنات / إعدادي بنات</t>
  </si>
  <si>
    <t>نفس الوظيفة لاختبارات البنات</t>
  </si>
  <si>
    <t>سجل المنتخبات</t>
  </si>
  <si>
    <t>المعهد/الإدارة/المنطقة</t>
  </si>
  <si>
    <t>قوائم منتخبات المعهد (10) والإدارة (10+2) والمنطقة (15)</t>
  </si>
  <si>
    <t>الكشف الطبي</t>
  </si>
  <si>
    <t>استمارة الكشف الطبي للمشاركين قبل التقييم</t>
  </si>
  <si>
    <t>لجنة التحكيم</t>
  </si>
  <si>
    <t>الإدارة/المنطقة</t>
  </si>
  <si>
    <t>توزيع الحكام وشروط اختيارهم</t>
  </si>
  <si>
    <t>بطاقة متابعة الطالب</t>
  </si>
  <si>
    <t>متابعة أداء طلاب الصفوف الأولى (الجناح الأول - التدريب)</t>
  </si>
  <si>
    <t>سجل التدريب</t>
  </si>
  <si>
    <t>سجل الحصص والوحدات التدريبية والمحطات</t>
  </si>
  <si>
    <t>اكتشاف الموهوبين</t>
  </si>
  <si>
    <t>حصر المتميزين وترشيحهم</t>
  </si>
  <si>
    <t>التقييم الذاتي</t>
  </si>
  <si>
    <t>تقييم المعهد لنفسه على 12 بنداً</t>
  </si>
  <si>
    <t>الزيارات الميدانية</t>
  </si>
  <si>
    <t>سجل الزيارات وقوائم الفحص</t>
  </si>
  <si>
    <t>متابعة المعاهد (إدارة)</t>
  </si>
  <si>
    <t>الإدارة</t>
  </si>
  <si>
    <t>متابعة المعاهد والمشاركة وحد التصفيات (7 طلاب)</t>
  </si>
  <si>
    <t>متابعة الإدارات (منطقة)</t>
  </si>
  <si>
    <t>تجميع بيانات الإدارات وتغذية مؤشرات الأداء</t>
  </si>
  <si>
    <t>مؤشرات الأداء</t>
  </si>
  <si>
    <t>المؤشرات التسعة وأدوات قياسها ونسب التحقق</t>
  </si>
  <si>
    <t>دليل الألوان</t>
  </si>
  <si>
    <t>خلية إدخال</t>
  </si>
  <si>
    <t>اكتب فيها فقط</t>
  </si>
  <si>
    <t>خلية محسوبة</t>
  </si>
  <si>
    <t>لا تعدّلها (معادلات)</t>
  </si>
  <si>
    <t>صف مثال</t>
  </si>
  <si>
    <t>بيانات توضيحية لا تدخل في الترتيب والإجماليات - استبدلها أو احذف محتواها</t>
  </si>
  <si>
    <t>افتراضات وملاحظات:</t>
  </si>
  <si>
    <t>- كل الدرجات والمساطر منقولة من دليل المشروع؛ راجع شيت «المساطر» لملاحظات الجداول التي بها لبس.</t>
  </si>
  <si>
    <t>- التقدير: 1–2 ضعيف، 3–4 مقبول، 5–6 جيد، 7–8 جيد جدا، 9–10 ممتاز (الدليل ص48)؛ ويُحسب لمتوسط درجات الطالب مقرباً.</t>
  </si>
  <si>
    <t>- الترتيب: مجموع درجات الاختبارات ثم مجموع عدّات (الجري+الجلوس+الانبطاح) عند التعادل؛ الحسم النهائي (الزمن/المسافة/السن) يتم يدوياً.</t>
  </si>
  <si>
    <t>- حدود التقييم الذاتي والمستهدفات في مؤشرات الأداء مقترحة من إعداد هذه الحزمة وليست من الدليل.</t>
  </si>
  <si>
    <t>متابعة مراحل الخطة التنفيذية (المواعيد حسب الدليل ص11–12)</t>
  </si>
  <si>
    <t>المنطقة الأزهرية: ..............   الإدارة التعليمية: ..............   المعهد: ..............   العام الدراسي: 2026/2027</t>
  </si>
  <si>
    <t>المرحلة</t>
  </si>
  <si>
    <t>البداية المخططة</t>
  </si>
  <si>
    <t>النهاية المخططة</t>
  </si>
  <si>
    <t>البداية الفعلية</t>
  </si>
  <si>
    <t>النهاية الفعلية</t>
  </si>
  <si>
    <t>الحالة</t>
  </si>
  <si>
    <t>نسبة الإنجاز</t>
  </si>
  <si>
    <t>ملاحظات</t>
  </si>
  <si>
    <t>1</t>
  </si>
  <si>
    <t>المسح الشامل وتعليم الأداء الصحيح (المعهد) - إعدادي وثانوي</t>
  </si>
  <si>
    <t>المسح الشامل - المرحلة الابتدائية (طوال العام الدراسي)</t>
  </si>
  <si>
    <t>2</t>
  </si>
  <si>
    <t>التصفيات واختيار أفضل 10 طلاب لكل مرحلة</t>
  </si>
  <si>
    <t>الإدارة التعليمية</t>
  </si>
  <si>
    <t>3</t>
  </si>
  <si>
    <t>مسابقة اللياقة البدنية - اختيار أفضل 15 لكل مرحلة</t>
  </si>
  <si>
    <t>4</t>
  </si>
  <si>
    <t>الوحدات التدريبية لمنتخب المنطقة (3 وحدات)</t>
  </si>
  <si>
    <t>5</t>
  </si>
  <si>
    <t>لقاء القمة لأبطال اللياقة البدنية</t>
  </si>
  <si>
    <t>بيوت الشباب - مركزي</t>
  </si>
  <si>
    <t>الدليل يجيز تأجيل فترة التدريب (المرحلة 4) لما بعد امتحانات الفصل الدراسي الأول. حدّث التواريخ المخططة عند التأجيل.</t>
  </si>
  <si>
    <t>المساطر (الدرجات المعيارية) - منقولة من دليل المشروع ص 21–23 و29–30</t>
  </si>
  <si>
    <t>الاختبارات التي بالعدّات: الحد الأدنى للعدّات للحصول على الدرجة | الاختبارات الزمنية: الحد الأقصى للزمن (ث) للحصول على الدرجة</t>
  </si>
  <si>
    <t>مسطرة ابتدائي بنين</t>
  </si>
  <si>
    <t>الدرجة</t>
  </si>
  <si>
    <t>الجري في المكان (15ث) - عدد
(حد أدنى)</t>
  </si>
  <si>
    <t>الجلوس من الرقود (30ث) - عدد
(حد أدنى)</t>
  </si>
  <si>
    <t>الانبطاح المائل - عدد
(حد أدنى)</t>
  </si>
  <si>
    <t>الوثب داخل الدوائر المرقمة - زمن (ث)
(حد أقصى)</t>
  </si>
  <si>
    <t>مسطرة إعدادي بنين</t>
  </si>
  <si>
    <t>الوثب العريض من الثبات - سم
(حد أدنى)</t>
  </si>
  <si>
    <t>الجري الزجزاجي (30م) - زمن (ث)
(حد أقصى)</t>
  </si>
  <si>
    <t>مسطرة ثانوي بنين</t>
  </si>
  <si>
    <t>الجري متعدد الجهات - زمن (ث)
(حد أقصى)</t>
  </si>
  <si>
    <t>ثني الجذع من الوقوف - سم
(حد أدنى)</t>
  </si>
  <si>
    <t>مسطرة ابتدائي بنات</t>
  </si>
  <si>
    <t>الانبطاح المائل العالي - عدد
(حد أدنى)</t>
  </si>
  <si>
    <t>الجري الارتدادي - زمن (ث)
(حد أقصى)</t>
  </si>
  <si>
    <t>مسطرة إعدادي بنات</t>
  </si>
  <si>
    <t>ملاحظات على الجداول المنقولة (يرجى مراجعتها مع الإدارة العامة):</t>
  </si>
  <si>
    <t>1) جدول الدليل ص23 المعنون «الابتدائية بنين» تتطابق اختباراته مع المرحلة الثانوية (الجري متعدد الجهات + ثني الجذع) فاعتُمد للثانوي بنين.</t>
  </si>
  <si>
    <t>2) الوثب العريض إعدادي بنات: الدليل يعرض الدرجة 4 بالقيمتين 1.50/1.49 والدرجة 3 بـ 1.45/1.40 (فجوة) فافتُرض أن حد الدرجة 4 = 146 سم. القيم بالسنتيمتر.</t>
  </si>
  <si>
    <t>3) الجري الارتدادي بنات ابتدائي: الدرجتان 4 و2 تنتهيان عند 13.50 و14.50 كما ورد بالدليل حرفياً.</t>
  </si>
  <si>
    <t>4) الخلايا الصفراء قابلة للتعديل؛ تعديلها يعيد حساب الدرجات في شيتات المسح تلقائياً.</t>
  </si>
  <si>
    <t>الاسم</t>
  </si>
  <si>
    <t>تاريخ الميلاد</t>
  </si>
  <si>
    <t>الصف</t>
  </si>
  <si>
    <t>الجري في المكان (15ث) - عدد</t>
  </si>
  <si>
    <t>الجلوس من الرقود (30ث) - عدد</t>
  </si>
  <si>
    <t>الانبطاح المائل - عدد</t>
  </si>
  <si>
    <t>الوثب داخل الدوائر المرقمة - زمن (ث)</t>
  </si>
  <si>
    <t>إجمالي الدرجات</t>
  </si>
  <si>
    <t>متوسط الدرجة (من 10)</t>
  </si>
  <si>
    <t>التقدير</t>
  </si>
  <si>
    <t>مجموع عدّات (الجري+الجلوس+الانبطاح)</t>
  </si>
  <si>
    <t>الترتيب</t>
  </si>
  <si>
    <t>حكم 1</t>
  </si>
  <si>
    <t>حكم 2</t>
  </si>
  <si>
    <t>المتوسط</t>
  </si>
  <si>
    <t>محاولة 1</t>
  </si>
  <si>
    <t>محاولة 2</t>
  </si>
  <si>
    <t>الأفضل</t>
  </si>
  <si>
    <t>مثال</t>
  </si>
  <si>
    <t>طالب (مثال)</t>
  </si>
  <si>
    <t>2015-03-10</t>
  </si>
  <si>
    <t>الثاني</t>
  </si>
  <si>
    <t>تعليمات: صف «مثال» لا يدخل في الترتيب. أدخل عدّات الحكمين أو المحاولات في الخلايا الصفراء فقط. الاختبارات الزمنية: سجّل الزمن النهائي بعد إضافة ثواني العقوبات، واترك المحاولة الفاشلة فارغة. التعادل في الترتيب يُحسم بمجموع العدّات ثم الأقل زمناً/الأكبر مسافة ثم الأصغر سناً (يدوياً).</t>
  </si>
  <si>
    <t>الوثب العريض من الثبات - سم</t>
  </si>
  <si>
    <t>الجري الزجزاجي (30م) - زمن (ث)</t>
  </si>
  <si>
    <t>الجري متعدد الجهات - زمن (ث)</t>
  </si>
  <si>
    <t>ثني الجذع من الوقوف - سم</t>
  </si>
  <si>
    <t>سجل المسح الشامل واختبارات اللياقة البدنية - ابتدائي بنات</t>
  </si>
  <si>
    <t>الانبطاح المائل العالي - عدد</t>
  </si>
  <si>
    <t>الجري الارتدادي - زمن (ث)</t>
  </si>
  <si>
    <t>سجل المسح الشامل واختبارات اللياقة البدنية - إعدادي بنات</t>
  </si>
  <si>
    <t>محاولة 3</t>
  </si>
  <si>
    <t>سجل منتخبات المعهد / الإدارة / المنطقة (10 طلاب + 2 احتياطي للإدارة، 15 للمنطقة)</t>
  </si>
  <si>
    <t>اسم الطالب</t>
  </si>
  <si>
    <t>النوع</t>
  </si>
  <si>
    <t>الترتيب الفردي</t>
  </si>
  <si>
    <t>الصفة</t>
  </si>
  <si>
    <t>رقم البطاقة الشخصية/المجمعة</t>
  </si>
  <si>
    <t>إدارة</t>
  </si>
  <si>
    <t>معهد (مثال)</t>
  </si>
  <si>
    <t>إعدادي</t>
  </si>
  <si>
    <t>بنين</t>
  </si>
  <si>
    <t>أساسي</t>
  </si>
  <si>
    <t>—</t>
  </si>
  <si>
    <t>سجل الكشف الطبي للطلاب المشاركين (مطلوب قبل التقييم على مستوى المنطقة)</t>
  </si>
  <si>
    <t>تاريخ الكشف</t>
  </si>
  <si>
    <t>النتيجة</t>
  </si>
  <si>
    <t>اسم الطبيب/الجهة</t>
  </si>
  <si>
    <t>2026-11-05</t>
  </si>
  <si>
    <t>لائق</t>
  </si>
  <si>
    <t>الوحدة الصحية</t>
  </si>
  <si>
    <t>سجل لجنة التحكيم وتوزيع الحكام على الاختبارات (حكمان لكل اختبار + حكم ميقاتي لفترات الراحة)</t>
  </si>
  <si>
    <t>الاختبار</t>
  </si>
  <si>
    <t>دور الحكم</t>
  </si>
  <si>
    <t>اسم الحكم</t>
  </si>
  <si>
    <t>المؤهل (بكالوريوس تربية رياضية)</t>
  </si>
  <si>
    <t>حاصل على مركز أول بالمنطقة (الحالي/السابق)</t>
  </si>
  <si>
    <t>سبق له التحكيم/تدريب المنتخب</t>
  </si>
  <si>
    <t>المعهد/الإدارة</t>
  </si>
  <si>
    <t>الهاتف</t>
  </si>
  <si>
    <t>الجري في المكان</t>
  </si>
  <si>
    <t>حكم ميقاتي</t>
  </si>
  <si>
    <t>أ/ (مثال)</t>
  </si>
  <si>
    <t>نعم</t>
  </si>
  <si>
    <t>لا</t>
  </si>
  <si>
    <t>إدارة (مثال)</t>
  </si>
  <si>
    <t>بطاقة متابعة أداء الطالب - برنامج بناء القدرات البدنية (الصفوف الأول والثاني والثالث الابتدائي)</t>
  </si>
  <si>
    <t>مشارك في الحصص</t>
  </si>
  <si>
    <t>أداء صحيح: الجري في المكان</t>
  </si>
  <si>
    <t>أداء صحيح: الجلوس من الرقود</t>
  </si>
  <si>
    <t>أداء صحيح: الانبطاح المائل</t>
  </si>
  <si>
    <t>أداء صحيح: الوثب بالدوائر</t>
  </si>
  <si>
    <t>عدد الاختبارات المتقنة (من 4)</t>
  </si>
  <si>
    <t>أبرز الأخطاء الفنية الشائعة</t>
  </si>
  <si>
    <t>تحسن ملحوظ</t>
  </si>
  <si>
    <t>متميز بدنياً/حركياً</t>
  </si>
  <si>
    <t>تاريخ المتابعة</t>
  </si>
  <si>
    <t>ملاحظات المعلم</t>
  </si>
  <si>
    <t>الأول</t>
  </si>
  <si>
    <t>جزئياً</t>
  </si>
  <si>
    <t>عدم رفع الركبة لمستوى الحوض</t>
  </si>
  <si>
    <t>2026-10-15</t>
  </si>
  <si>
    <t>الإجمالي</t>
  </si>
  <si>
    <t>مؤشرات البرنامج: ارتفاع نسبة المشاركة، وصول غالبية التلاميذ للأداء الصحيح، انخفاض الأخطاء الشائعة، توثيق المتميزين (دليل المشروع ص6). سجّل الأداء بـ«نعم/جزئياً/لا».</t>
  </si>
  <si>
    <t>سجل التدريب والإعداد البدني (الوحدات التدريبية ومحطات اللياقة)</t>
  </si>
  <si>
    <t>التاريخ</t>
  </si>
  <si>
    <t>المرحلة/الصف</t>
  </si>
  <si>
    <t>النشاط</t>
  </si>
  <si>
    <t>العنصر المستهدف</t>
  </si>
  <si>
    <t>الزمن (دقيقة)</t>
  </si>
  <si>
    <t>عدد المشاركين</t>
  </si>
  <si>
    <t>عدد المستهدفين</t>
  </si>
  <si>
    <t>نسبة المشاركة</t>
  </si>
  <si>
    <t>المدرب/المعلم</t>
  </si>
  <si>
    <t>أبرز الملاحظات</t>
  </si>
  <si>
    <t>2026-10-12</t>
  </si>
  <si>
    <t>الأول الابتدائي</t>
  </si>
  <si>
    <t>حصة حركية</t>
  </si>
  <si>
    <t>السرعة</t>
  </si>
  <si>
    <t>تم تنفيذ الحصة وفق خريطة التنفيذ</t>
  </si>
  <si>
    <t>استمارة اكتشاف الطلاب الموهوبين والمتميزين بدنياً</t>
  </si>
  <si>
    <t>إجمالي درجات المسح</t>
  </si>
  <si>
    <t>أفضل عنصر لياقة</t>
  </si>
  <si>
    <t>الأداء الفني</t>
  </si>
  <si>
    <t>رُشِّح لمنتخب</t>
  </si>
  <si>
    <t>برنامج الرعاية المقترح</t>
  </si>
  <si>
    <t>ابتدائي</t>
  </si>
  <si>
    <t>بنات</t>
  </si>
  <si>
    <t>ممتاز</t>
  </si>
  <si>
    <t>وحدة سرعة إضافية أسبوعياً</t>
  </si>
  <si>
    <t>سجل التقييم الذاتي للمعهد (قيّم كل بند من 1 إلى 5)</t>
  </si>
  <si>
    <t>بند التقييم</t>
  </si>
  <si>
    <t>التقييم (1-5)</t>
  </si>
  <si>
    <t>الدليل/المستند</t>
  </si>
  <si>
    <t>إجراء التحسين المقترح</t>
  </si>
  <si>
    <t>مثال: انتظام تنفيذ البرنامج</t>
  </si>
  <si>
    <t>سجل الحضور</t>
  </si>
  <si>
    <t>أعداد الطلاب المستهدفين والمشاركين</t>
  </si>
  <si>
    <t>انتظام تنفيذ البرنامج</t>
  </si>
  <si>
    <t>جودة تعليم الاختبارات</t>
  </si>
  <si>
    <t>مستوى الأداء الفني للطلاب</t>
  </si>
  <si>
    <t>تنفيذ الوحدات التدريبية</t>
  </si>
  <si>
    <t>نتائج القياسات</t>
  </si>
  <si>
    <t>الطلاب المتميزون</t>
  </si>
  <si>
    <t>الطلاب الذين يحتاجون برامج تحسين</t>
  </si>
  <si>
    <t>مدى الاستفادة من النتائج</t>
  </si>
  <si>
    <t>التوثيق (سجلات/صور/فيديو)</t>
  </si>
  <si>
    <t>توافر الملاعب والأدوات</t>
  </si>
  <si>
    <t>الإعلان والتوعية بالمشروع</t>
  </si>
  <si>
    <t>النسبة المئوية للتقييم الذاتي</t>
  </si>
  <si>
    <t>سجل المتابعة الميدانية (زيارات موجه الإدارة/المنطقة للمعاهد)</t>
  </si>
  <si>
    <t>تاريخ الزيارة</t>
  </si>
  <si>
    <t>الزائر (الاسم/الوظيفة)</t>
  </si>
  <si>
    <t>حضور الحصص الحركية</t>
  </si>
  <si>
    <t>سجلات المسح والتدريب</t>
  </si>
  <si>
    <t>أداء الاختبارات وفق الشروط</t>
  </si>
  <si>
    <t>الأدوات والملاعب</t>
  </si>
  <si>
    <t>الإعلان والتوعية</t>
  </si>
  <si>
    <t>التوصيات</t>
  </si>
  <si>
    <t>موعد المتابعة التالية</t>
  </si>
  <si>
    <t>2026-10-14</t>
  </si>
  <si>
    <t>موجه التربية الرياضية</t>
  </si>
  <si>
    <t>متابعة مسح</t>
  </si>
  <si>
    <t>مستوفى</t>
  </si>
  <si>
    <t>استكمال المسح للصف الثالث</t>
  </si>
  <si>
    <t>2026-10-21</t>
  </si>
  <si>
    <t>استمارة متابعة المعاهد على مستوى الإدارة التعليمية</t>
  </si>
  <si>
    <t>معلم التربية الرياضية</t>
  </si>
  <si>
    <t>إجمالي الطلاب</t>
  </si>
  <si>
    <t>المستهدفون بالمسح</t>
  </si>
  <si>
    <t>المشاركون في المسح</t>
  </si>
  <si>
    <t>تم المسح الشامل</t>
  </si>
  <si>
    <t>تاريخ المسح</t>
  </si>
  <si>
    <t>طلاب مشاركون بالتصفيات</t>
  </si>
  <si>
    <t>استيفاء حد التصفيات (7)</t>
  </si>
  <si>
    <t>وصل تقرير المعهد</t>
  </si>
  <si>
    <t>عدد الزيارات الميدانية</t>
  </si>
  <si>
    <t>متوسط درجات المنتخب</t>
  </si>
  <si>
    <t>2026-10-18</t>
  </si>
  <si>
    <t>استمارة متابعة الإدارات التعليمية على مستوى المنطقة الأزهرية</t>
  </si>
  <si>
    <t>عدد المعاهد</t>
  </si>
  <si>
    <t>المعاهد المنفذة للمشروع</t>
  </si>
  <si>
    <t>نسبة المعاهد المنفذة</t>
  </si>
  <si>
    <t>الطلاب المستهدفون</t>
  </si>
  <si>
    <t>الطلاب المشاركون</t>
  </si>
  <si>
    <t>معاهد شاركت في التصفيات</t>
  </si>
  <si>
    <t>منتخب الإدارة مكتمل (10+2) لكل مرحلة</t>
  </si>
  <si>
    <t>وصل تقرير الإدارة</t>
  </si>
  <si>
    <t>زيارات ميدانية</t>
  </si>
  <si>
    <t>موجه الإدارة / المنسق</t>
  </si>
  <si>
    <t>منظومة مؤشرات الأداء (دليل المشروع ص5) - المنطقة الأزهرية</t>
  </si>
  <si>
    <t>المجال</t>
  </si>
  <si>
    <t>المؤشر</t>
  </si>
  <si>
    <t>أداة القياس</t>
  </si>
  <si>
    <t>المحقق (البسط)</t>
  </si>
  <si>
    <t>المخطط (المقام)</t>
  </si>
  <si>
    <t>النسبة</t>
  </si>
  <si>
    <t>المستهدف</t>
  </si>
  <si>
    <t>الانتشار</t>
  </si>
  <si>
    <t>نسبة المعاهد المنفذة للمشروع</t>
  </si>
  <si>
    <t>سجل الحصر والمتابعة</t>
  </si>
  <si>
    <t>التنفيذ</t>
  </si>
  <si>
    <t>نسبة الأنشطة المنفذة</t>
  </si>
  <si>
    <t>الخطة التنفيذية (شيت متابعة المراحل)</t>
  </si>
  <si>
    <t>المشاركة</t>
  </si>
  <si>
    <t>عدد ونسبة الطلاب المشاركين</t>
  </si>
  <si>
    <t>كشوف المشاركة</t>
  </si>
  <si>
    <t>الأداء</t>
  </si>
  <si>
    <t>مستوى إتقان الاختبارات</t>
  </si>
  <si>
    <t>استمارة الاختبار</t>
  </si>
  <si>
    <t>التطور</t>
  </si>
  <si>
    <t>نسبة التحسن في النتائج</t>
  </si>
  <si>
    <t>تحليل القياسات</t>
  </si>
  <si>
    <t>الجودة</t>
  </si>
  <si>
    <t>مدى الالتزام بالمعايير الفنية</t>
  </si>
  <si>
    <t>بطاقة الملاحظة</t>
  </si>
  <si>
    <t>المتابعة</t>
  </si>
  <si>
    <t>سجل المتابعة</t>
  </si>
  <si>
    <t>البيانات</t>
  </si>
  <si>
    <t>نسبة اكتمال ودقة البيانات</t>
  </si>
  <si>
    <t>قاعدة البيانات</t>
  </si>
  <si>
    <t>الموهبة</t>
  </si>
  <si>
    <t>عدد الطلاب المكتشفين والمتميزين</t>
  </si>
  <si>
    <t>استمارة اكتشاف الموهوبين</t>
  </si>
  <si>
    <t>الخلايا الخضراء مرتبطة بشيت «متابعة الإدارات (منطقة)». المستهدفات (100% و10% للتحسن) قيم مقترحة قابلة للتعديل - الدليل لم يحدد مستهدفات رقمية. للزيارات الميدانية أدخل العدد المخطط في خانة المقام.</t>
  </si>
  <si>
    <t>سجل اختبارات اللياقة البدنية - ثانوي بنين</t>
  </si>
  <si>
    <t>سجل اختبارات اللياقة البدنية - إعدادي بنين</t>
  </si>
  <si>
    <t>سجل اختبارات اللياقة البدنية - ابتدائي بنين</t>
  </si>
  <si>
    <t xml:space="preserve">النسبة المئوية = مجموع التقييمات ÷ (عدد البنود × 5). المعهد: 90%+ ممتاز، 75–89% جيد جداً، 60–74% جيد، أقل من 60% يحتاج دعماً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</si>
</sst>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0.0"/>
  </numFmts>
  <fonts count="16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i/>
      <sz val="11"/>
      <color rgb="FF666666"/>
      <name val="Arial"/>
      <charset val="1"/>
    </font>
    <font>
      <sz val="11"/>
      <color rgb="FF555555"/>
      <name val="Arial"/>
      <charset val="1"/>
    </font>
    <font>
      <b/>
      <sz val="11"/>
      <color rgb="FF444444"/>
      <name val="Arial"/>
      <charset val="1"/>
    </font>
    <font>
      <sz val="11"/>
      <color rgb="FF444444"/>
      <name val="Arial"/>
      <charset val="1"/>
    </font>
    <font>
      <i/>
      <sz val="11"/>
      <color rgb="FF000000"/>
      <name val="Arial"/>
      <charset val="1"/>
    </font>
    <font>
      <b/>
      <i/>
      <sz val="11"/>
      <color rgb="FF000000"/>
      <name val="Arial"/>
      <charset val="1"/>
    </font>
    <font>
      <sz val="11"/>
      <color theme="1"/>
      <name val="FreeSans"/>
      <family val="2"/>
    </font>
    <font>
      <sz val="11"/>
      <color rgb="FF008000"/>
      <name val="Arial"/>
      <charset val="1"/>
    </font>
    <font>
      <b/>
      <sz val="14"/>
      <name val="Arial"/>
      <family val="2"/>
    </font>
    <font>
      <sz val="11"/>
      <name val="Calibri"/>
      <family val="2"/>
      <charset val="178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3D"/>
        <bgColor rgb="FF444444"/>
      </patternFill>
    </fill>
    <fill>
      <patternFill patternType="solid">
        <fgColor rgb="FFD9EAD3"/>
        <bgColor rgb="FFDDDDDD"/>
      </patternFill>
    </fill>
    <fill>
      <patternFill patternType="solid">
        <fgColor rgb="FFEDEDED"/>
        <bgColor rgb="FFD9EAD3"/>
      </patternFill>
    </fill>
    <fill>
      <patternFill patternType="solid">
        <fgColor rgb="FFFFF8DC"/>
        <bgColor rgb="FFFFFFFF"/>
      </patternFill>
    </fill>
    <fill>
      <patternFill patternType="solid">
        <fgColor rgb="FFDDDDDD"/>
        <bgColor rgb="FFD9EAD3"/>
      </patternFill>
    </fill>
    <fill>
      <patternFill patternType="solid">
        <fgColor theme="0"/>
        <bgColor rgb="FF44444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DDDD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9" fontId="4" fillId="5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165" fontId="9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2" fontId="5" fillId="6" borderId="1" xfId="0" applyNumberFormat="1" applyFont="1" applyFill="1" applyBorder="1" applyAlignment="1">
      <alignment horizontal="center" vertical="center" wrapText="1"/>
    </xf>
    <xf numFmtId="2" fontId="9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9" fontId="5" fillId="6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165" fontId="0" fillId="0" borderId="0" xfId="0" applyNumberFormat="1"/>
    <xf numFmtId="9" fontId="2" fillId="4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8" borderId="0" xfId="0" applyFont="1" applyFill="1"/>
    <xf numFmtId="0" fontId="15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wrapText="1"/>
    </xf>
    <xf numFmtId="0" fontId="6" fillId="0" borderId="0" xfId="0" applyFont="1" applyAlignment="1">
      <alignment horizontal="righ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wrapText="1"/>
    </xf>
    <xf numFmtId="0" fontId="13" fillId="7" borderId="0" xfId="0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8DC"/>
      <rgbColor rgb="FFEDEDED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66"/>
      <rgbColor rgb="FF999999"/>
      <rgbColor rgb="FF1F4E3D"/>
      <rgbColor rgb="FF339966"/>
      <rgbColor rgb="FF003300"/>
      <rgbColor rgb="FF555555"/>
      <rgbColor rgb="FFB45309"/>
      <rgbColor rgb="FF993366"/>
      <rgbColor rgb="FF2F5597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3D"/>
    <pageSetUpPr fitToPage="1"/>
  </sheetPr>
  <dimension ref="A1:D30"/>
  <sheetViews>
    <sheetView rightToLeft="1" topLeftCell="A12" zoomScaleNormal="100" workbookViewId="0">
      <selection sqref="A1:D1"/>
    </sheetView>
  </sheetViews>
  <sheetFormatPr defaultColWidth="8.6640625" defaultRowHeight="14.4"/>
  <cols>
    <col min="1" max="1" width="6" customWidth="1"/>
    <col min="2" max="2" width="30" customWidth="1"/>
    <col min="3" max="3" width="22" customWidth="1"/>
    <col min="4" max="4" width="70" customWidth="1"/>
  </cols>
  <sheetData>
    <row r="1" spans="1:4" ht="30" customHeight="1">
      <c r="A1" s="35" t="s">
        <v>0</v>
      </c>
      <c r="B1" s="35"/>
      <c r="C1" s="35"/>
      <c r="D1" s="35"/>
    </row>
    <row r="2" spans="1:4" ht="15" customHeight="1">
      <c r="A2" s="36" t="s">
        <v>1</v>
      </c>
      <c r="B2" s="36"/>
      <c r="C2" s="36"/>
      <c r="D2" s="36"/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spans="1:4" ht="30" customHeight="1">
      <c r="A4" s="2">
        <v>1</v>
      </c>
      <c r="B4" s="3" t="s">
        <v>6</v>
      </c>
      <c r="C4" s="4" t="s">
        <v>7</v>
      </c>
      <c r="D4" s="3" t="s">
        <v>8</v>
      </c>
    </row>
    <row r="5" spans="1:4" ht="30" customHeight="1">
      <c r="A5" s="2">
        <v>2</v>
      </c>
      <c r="B5" s="3" t="s">
        <v>9</v>
      </c>
      <c r="C5" s="4" t="s">
        <v>10</v>
      </c>
      <c r="D5" s="3" t="s">
        <v>11</v>
      </c>
    </row>
    <row r="6" spans="1:4" ht="30" customHeight="1">
      <c r="A6" s="2">
        <v>3</v>
      </c>
      <c r="B6" s="3" t="s">
        <v>12</v>
      </c>
      <c r="C6" s="4" t="s">
        <v>7</v>
      </c>
      <c r="D6" s="3" t="s">
        <v>13</v>
      </c>
    </row>
    <row r="7" spans="1:4" ht="30" customHeight="1">
      <c r="A7" s="2">
        <v>4</v>
      </c>
      <c r="B7" s="3" t="s">
        <v>14</v>
      </c>
      <c r="C7" s="4" t="s">
        <v>15</v>
      </c>
      <c r="D7" s="3" t="s">
        <v>16</v>
      </c>
    </row>
    <row r="8" spans="1:4" ht="30" customHeight="1">
      <c r="A8" s="2">
        <v>5</v>
      </c>
      <c r="B8" s="3" t="s">
        <v>17</v>
      </c>
      <c r="C8" s="4" t="s">
        <v>15</v>
      </c>
      <c r="D8" s="3" t="s">
        <v>18</v>
      </c>
    </row>
    <row r="9" spans="1:4" ht="30" customHeight="1">
      <c r="A9" s="2">
        <v>6</v>
      </c>
      <c r="B9" s="3" t="s">
        <v>19</v>
      </c>
      <c r="C9" s="4" t="s">
        <v>20</v>
      </c>
      <c r="D9" s="3" t="s">
        <v>21</v>
      </c>
    </row>
    <row r="10" spans="1:4" ht="30" customHeight="1">
      <c r="A10" s="2">
        <v>7</v>
      </c>
      <c r="B10" s="3" t="s">
        <v>22</v>
      </c>
      <c r="C10" s="4" t="s">
        <v>10</v>
      </c>
      <c r="D10" s="3" t="s">
        <v>23</v>
      </c>
    </row>
    <row r="11" spans="1:4" ht="30" customHeight="1">
      <c r="A11" s="2">
        <v>8</v>
      </c>
      <c r="B11" s="3" t="s">
        <v>24</v>
      </c>
      <c r="C11" s="4" t="s">
        <v>25</v>
      </c>
      <c r="D11" s="3" t="s">
        <v>26</v>
      </c>
    </row>
    <row r="12" spans="1:4" ht="30" customHeight="1">
      <c r="A12" s="2">
        <v>9</v>
      </c>
      <c r="B12" s="3" t="s">
        <v>27</v>
      </c>
      <c r="C12" s="4" t="s">
        <v>15</v>
      </c>
      <c r="D12" s="3" t="s">
        <v>28</v>
      </c>
    </row>
    <row r="13" spans="1:4" ht="30" customHeight="1">
      <c r="A13" s="2">
        <v>10</v>
      </c>
      <c r="B13" s="3" t="s">
        <v>29</v>
      </c>
      <c r="C13" s="4" t="s">
        <v>15</v>
      </c>
      <c r="D13" s="3" t="s">
        <v>30</v>
      </c>
    </row>
    <row r="14" spans="1:4" ht="30" customHeight="1">
      <c r="A14" s="2">
        <v>11</v>
      </c>
      <c r="B14" s="3" t="s">
        <v>31</v>
      </c>
      <c r="C14" s="4" t="s">
        <v>15</v>
      </c>
      <c r="D14" s="3" t="s">
        <v>32</v>
      </c>
    </row>
    <row r="15" spans="1:4" ht="30" customHeight="1">
      <c r="A15" s="2">
        <v>12</v>
      </c>
      <c r="B15" s="3" t="s">
        <v>33</v>
      </c>
      <c r="C15" s="4" t="s">
        <v>15</v>
      </c>
      <c r="D15" s="3" t="s">
        <v>34</v>
      </c>
    </row>
    <row r="16" spans="1:4" ht="30" customHeight="1">
      <c r="A16" s="2">
        <v>13</v>
      </c>
      <c r="B16" s="3" t="s">
        <v>35</v>
      </c>
      <c r="C16" s="4" t="s">
        <v>25</v>
      </c>
      <c r="D16" s="3" t="s">
        <v>36</v>
      </c>
    </row>
    <row r="17" spans="1:4" ht="30" customHeight="1">
      <c r="A17" s="2">
        <v>14</v>
      </c>
      <c r="B17" s="3" t="s">
        <v>37</v>
      </c>
      <c r="C17" s="4" t="s">
        <v>38</v>
      </c>
      <c r="D17" s="3" t="s">
        <v>39</v>
      </c>
    </row>
    <row r="18" spans="1:4" ht="30" customHeight="1">
      <c r="A18" s="2">
        <v>15</v>
      </c>
      <c r="B18" s="3" t="s">
        <v>40</v>
      </c>
      <c r="C18" s="4" t="s">
        <v>10</v>
      </c>
      <c r="D18" s="3" t="s">
        <v>41</v>
      </c>
    </row>
    <row r="19" spans="1:4" ht="30" customHeight="1">
      <c r="A19" s="2">
        <v>16</v>
      </c>
      <c r="B19" s="3" t="s">
        <v>42</v>
      </c>
      <c r="C19" s="4" t="s">
        <v>10</v>
      </c>
      <c r="D19" s="3" t="s">
        <v>43</v>
      </c>
    </row>
    <row r="21" spans="1:4">
      <c r="B21" s="2" t="s">
        <v>44</v>
      </c>
    </row>
    <row r="22" spans="1:4">
      <c r="B22" s="5" t="s">
        <v>45</v>
      </c>
      <c r="C22" s="6" t="s">
        <v>46</v>
      </c>
    </row>
    <row r="23" spans="1:4">
      <c r="B23" s="4" t="s">
        <v>47</v>
      </c>
      <c r="C23" s="6" t="s">
        <v>48</v>
      </c>
    </row>
    <row r="24" spans="1:4" ht="41.4">
      <c r="B24" s="7" t="s">
        <v>49</v>
      </c>
      <c r="C24" s="6" t="s">
        <v>50</v>
      </c>
    </row>
    <row r="26" spans="1:4" ht="15" customHeight="1">
      <c r="B26" s="37" t="s">
        <v>51</v>
      </c>
      <c r="C26" s="37"/>
      <c r="D26" s="37"/>
    </row>
    <row r="27" spans="1:4" ht="15" customHeight="1">
      <c r="B27" s="34" t="s">
        <v>52</v>
      </c>
      <c r="C27" s="34"/>
      <c r="D27" s="34"/>
    </row>
    <row r="28" spans="1:4" ht="15" customHeight="1">
      <c r="B28" s="34" t="s">
        <v>53</v>
      </c>
      <c r="C28" s="34"/>
      <c r="D28" s="34"/>
    </row>
    <row r="29" spans="1:4" ht="15" customHeight="1">
      <c r="B29" s="34" t="s">
        <v>54</v>
      </c>
      <c r="C29" s="34"/>
      <c r="D29" s="34"/>
    </row>
    <row r="30" spans="1:4" ht="15" customHeight="1">
      <c r="B30" s="34" t="s">
        <v>55</v>
      </c>
      <c r="C30" s="34"/>
      <c r="D30" s="34"/>
    </row>
  </sheetData>
  <mergeCells count="7">
    <mergeCell ref="B29:D29"/>
    <mergeCell ref="B30:D30"/>
    <mergeCell ref="A1:D1"/>
    <mergeCell ref="A2:D2"/>
    <mergeCell ref="B26:D26"/>
    <mergeCell ref="B27:D27"/>
    <mergeCell ref="B28:D2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J11"/>
  <sheetViews>
    <sheetView rightToLeft="1" zoomScaleNormal="100" workbookViewId="0">
      <selection activeCell="A4" sqref="A4"/>
    </sheetView>
  </sheetViews>
  <sheetFormatPr defaultColWidth="8.6640625" defaultRowHeight="14.4"/>
  <cols>
    <col min="1" max="1" width="5" customWidth="1"/>
    <col min="2" max="2" width="52" customWidth="1"/>
    <col min="3" max="3" width="18" customWidth="1"/>
    <col min="4" max="7" width="15" customWidth="1"/>
    <col min="8" max="8" width="14" customWidth="1"/>
    <col min="9" max="9" width="12" customWidth="1"/>
    <col min="10" max="10" width="28" customWidth="1"/>
  </cols>
  <sheetData>
    <row r="1" spans="1:10" ht="30" customHeight="1">
      <c r="A1" s="35" t="s">
        <v>56</v>
      </c>
      <c r="B1" s="35"/>
      <c r="C1" s="35"/>
      <c r="D1" s="35"/>
      <c r="E1" s="35"/>
      <c r="F1" s="35"/>
      <c r="G1" s="35"/>
      <c r="H1" s="35"/>
      <c r="I1" s="35"/>
    </row>
    <row r="2" spans="1:10" ht="15" customHeight="1">
      <c r="A2" s="36" t="s">
        <v>57</v>
      </c>
      <c r="B2" s="36"/>
      <c r="C2" s="36"/>
      <c r="D2" s="36"/>
      <c r="E2" s="36"/>
      <c r="F2" s="36"/>
      <c r="G2" s="36"/>
      <c r="H2" s="36"/>
      <c r="I2" s="36"/>
    </row>
    <row r="3" spans="1:10">
      <c r="A3" s="1" t="s">
        <v>2</v>
      </c>
      <c r="B3" s="1" t="s">
        <v>58</v>
      </c>
      <c r="C3" s="1" t="s">
        <v>4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</row>
    <row r="4" spans="1:10" ht="30" customHeight="1">
      <c r="A4" s="2" t="s">
        <v>66</v>
      </c>
      <c r="B4" s="3" t="s">
        <v>67</v>
      </c>
      <c r="C4" s="4" t="s">
        <v>15</v>
      </c>
      <c r="D4" s="8">
        <v>46296</v>
      </c>
      <c r="E4" s="8">
        <v>46317</v>
      </c>
      <c r="F4" s="9"/>
      <c r="G4" s="9"/>
      <c r="H4" s="4" t="str">
        <f t="shared" ref="H4:H9" ca="1" si="0">IF(G4&lt;&gt;"",IF(G4&lt;=E4,"أُنجزت في موعدها","أُنجزت متأخرة"),IF(F4&lt;&gt;"",IF(TODAY()&gt;E4,"متأخرة","جارية"),IF(TODAY()&gt;E4,"لم تبدأ - متأخرة","لم تبدأ")))</f>
        <v>لم تبدأ</v>
      </c>
      <c r="I4" s="10"/>
      <c r="J4" s="5"/>
    </row>
    <row r="5" spans="1:10" ht="30" customHeight="1">
      <c r="A5" s="2" t="s">
        <v>66</v>
      </c>
      <c r="B5" s="3" t="s">
        <v>68</v>
      </c>
      <c r="C5" s="4" t="s">
        <v>15</v>
      </c>
      <c r="D5" s="8">
        <v>46296</v>
      </c>
      <c r="E5" s="8">
        <v>46568</v>
      </c>
      <c r="F5" s="9"/>
      <c r="G5" s="9"/>
      <c r="H5" s="4" t="str">
        <f t="shared" ca="1" si="0"/>
        <v>لم تبدأ</v>
      </c>
      <c r="I5" s="10"/>
      <c r="J5" s="5"/>
    </row>
    <row r="6" spans="1:10" ht="30" customHeight="1">
      <c r="A6" s="2" t="s">
        <v>69</v>
      </c>
      <c r="B6" s="3" t="s">
        <v>70</v>
      </c>
      <c r="C6" s="4" t="s">
        <v>71</v>
      </c>
      <c r="D6" s="8">
        <v>46319</v>
      </c>
      <c r="E6" s="8">
        <v>46338</v>
      </c>
      <c r="F6" s="9"/>
      <c r="G6" s="9"/>
      <c r="H6" s="4" t="str">
        <f t="shared" ca="1" si="0"/>
        <v>لم تبدأ</v>
      </c>
      <c r="I6" s="10"/>
      <c r="J6" s="5"/>
    </row>
    <row r="7" spans="1:10" ht="30" customHeight="1">
      <c r="A7" s="2" t="s">
        <v>72</v>
      </c>
      <c r="B7" s="3" t="s">
        <v>73</v>
      </c>
      <c r="C7" s="4" t="s">
        <v>10</v>
      </c>
      <c r="D7" s="8">
        <v>46340</v>
      </c>
      <c r="E7" s="8">
        <v>46352</v>
      </c>
      <c r="F7" s="9"/>
      <c r="G7" s="9"/>
      <c r="H7" s="4" t="str">
        <f t="shared" ca="1" si="0"/>
        <v>لم تبدأ</v>
      </c>
      <c r="I7" s="10"/>
      <c r="J7" s="5"/>
    </row>
    <row r="8" spans="1:10" ht="30" customHeight="1">
      <c r="A8" s="2" t="s">
        <v>74</v>
      </c>
      <c r="B8" s="3" t="s">
        <v>75</v>
      </c>
      <c r="C8" s="4" t="s">
        <v>10</v>
      </c>
      <c r="D8" s="8">
        <v>46354</v>
      </c>
      <c r="E8" s="8">
        <v>46366</v>
      </c>
      <c r="F8" s="9"/>
      <c r="G8" s="9"/>
      <c r="H8" s="4" t="str">
        <f t="shared" ca="1" si="0"/>
        <v>لم تبدأ</v>
      </c>
      <c r="I8" s="10"/>
      <c r="J8" s="5"/>
    </row>
    <row r="9" spans="1:10" ht="30" customHeight="1">
      <c r="A9" s="2" t="s">
        <v>76</v>
      </c>
      <c r="B9" s="3" t="s">
        <v>77</v>
      </c>
      <c r="C9" s="4" t="s">
        <v>78</v>
      </c>
      <c r="D9" s="8">
        <v>46409</v>
      </c>
      <c r="E9" s="8">
        <v>46428</v>
      </c>
      <c r="F9" s="9"/>
      <c r="G9" s="9"/>
      <c r="H9" s="4" t="str">
        <f t="shared" ca="1" si="0"/>
        <v>لم تبدأ</v>
      </c>
      <c r="I9" s="10"/>
      <c r="J9" s="5"/>
    </row>
    <row r="11" spans="1:10">
      <c r="A11" s="38" t="s">
        <v>79</v>
      </c>
      <c r="B11" s="38"/>
      <c r="C11" s="38"/>
      <c r="D11" s="38"/>
      <c r="E11" s="38"/>
      <c r="F11" s="38"/>
      <c r="G11" s="38"/>
      <c r="H11" s="38"/>
      <c r="I11" s="38"/>
      <c r="J11" s="38"/>
    </row>
  </sheetData>
  <mergeCells count="3">
    <mergeCell ref="A1:I1"/>
    <mergeCell ref="A2:I2"/>
    <mergeCell ref="A11:J11"/>
  </mergeCells>
  <dataValidations count="1">
    <dataValidation type="decimal" allowBlank="1" sqref="I4:I9">
      <formula1>0</formula1>
      <formula2>1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  <pageSetUpPr fitToPage="1"/>
  </sheetPr>
  <dimension ref="A1:L78"/>
  <sheetViews>
    <sheetView rightToLeft="1" topLeftCell="A46" zoomScaleNormal="100" workbookViewId="0">
      <selection activeCell="E58" sqref="E58"/>
    </sheetView>
  </sheetViews>
  <sheetFormatPr defaultColWidth="8.6640625" defaultRowHeight="14.4"/>
  <cols>
    <col min="1" max="1" width="10" customWidth="1"/>
    <col min="2" max="6" width="24" customWidth="1"/>
  </cols>
  <sheetData>
    <row r="1" spans="1:12" ht="30" customHeight="1">
      <c r="A1" s="35" t="s">
        <v>80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15" customHeight="1">
      <c r="A2" s="36" t="s">
        <v>81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1:12" ht="15" customHeight="1">
      <c r="A4" s="40" t="s">
        <v>82</v>
      </c>
      <c r="B4" s="40"/>
      <c r="C4" s="40"/>
      <c r="D4" s="40"/>
      <c r="E4" s="40"/>
    </row>
    <row r="5" spans="1:12" ht="48" customHeight="1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</row>
    <row r="6" spans="1:12">
      <c r="A6" s="2">
        <v>1</v>
      </c>
      <c r="B6" s="11">
        <v>12</v>
      </c>
      <c r="C6" s="11">
        <v>13</v>
      </c>
      <c r="D6" s="11">
        <v>11</v>
      </c>
      <c r="E6" s="12">
        <v>7.99</v>
      </c>
    </row>
    <row r="7" spans="1:12">
      <c r="A7" s="2">
        <v>2</v>
      </c>
      <c r="B7" s="11">
        <v>14</v>
      </c>
      <c r="C7" s="11">
        <v>15</v>
      </c>
      <c r="D7" s="11">
        <v>13</v>
      </c>
      <c r="E7" s="12">
        <v>7.59</v>
      </c>
    </row>
    <row r="8" spans="1:12">
      <c r="A8" s="2">
        <v>3</v>
      </c>
      <c r="B8" s="11">
        <v>16</v>
      </c>
      <c r="C8" s="11">
        <v>17</v>
      </c>
      <c r="D8" s="11">
        <v>15</v>
      </c>
      <c r="E8" s="12">
        <v>7.19</v>
      </c>
    </row>
    <row r="9" spans="1:12">
      <c r="A9" s="2">
        <v>4</v>
      </c>
      <c r="B9" s="11">
        <v>18</v>
      </c>
      <c r="C9" s="11">
        <v>19</v>
      </c>
      <c r="D9" s="11">
        <v>17</v>
      </c>
      <c r="E9" s="12">
        <v>6.79</v>
      </c>
    </row>
    <row r="10" spans="1:12">
      <c r="A10" s="2">
        <v>5</v>
      </c>
      <c r="B10" s="11">
        <v>20</v>
      </c>
      <c r="C10" s="11">
        <v>21</v>
      </c>
      <c r="D10" s="11">
        <v>19</v>
      </c>
      <c r="E10" s="12">
        <v>6.39</v>
      </c>
    </row>
    <row r="11" spans="1:12">
      <c r="A11" s="2">
        <v>6</v>
      </c>
      <c r="B11" s="11">
        <v>22</v>
      </c>
      <c r="C11" s="11">
        <v>23</v>
      </c>
      <c r="D11" s="11">
        <v>21</v>
      </c>
      <c r="E11" s="12">
        <v>5.99</v>
      </c>
    </row>
    <row r="12" spans="1:12">
      <c r="A12" s="2">
        <v>7</v>
      </c>
      <c r="B12" s="11">
        <v>24</v>
      </c>
      <c r="C12" s="11">
        <v>25</v>
      </c>
      <c r="D12" s="11">
        <v>23</v>
      </c>
      <c r="E12" s="12">
        <v>5.59</v>
      </c>
    </row>
    <row r="13" spans="1:12">
      <c r="A13" s="2">
        <v>8</v>
      </c>
      <c r="B13" s="11">
        <v>26</v>
      </c>
      <c r="C13" s="11">
        <v>27</v>
      </c>
      <c r="D13" s="11">
        <v>25</v>
      </c>
      <c r="E13" s="12">
        <v>5.19</v>
      </c>
    </row>
    <row r="14" spans="1:12">
      <c r="A14" s="2">
        <v>9</v>
      </c>
      <c r="B14" s="11">
        <v>28</v>
      </c>
      <c r="C14" s="11">
        <v>29</v>
      </c>
      <c r="D14" s="11">
        <v>27</v>
      </c>
      <c r="E14" s="12">
        <v>4.79</v>
      </c>
    </row>
    <row r="15" spans="1:12">
      <c r="A15" s="2">
        <v>10</v>
      </c>
      <c r="B15" s="11">
        <v>30</v>
      </c>
      <c r="C15" s="11">
        <v>31</v>
      </c>
      <c r="D15" s="11">
        <v>29</v>
      </c>
      <c r="E15" s="12">
        <v>4.3899999999999997</v>
      </c>
    </row>
    <row r="18" spans="1:6" ht="15" customHeight="1">
      <c r="A18" s="40" t="s">
        <v>88</v>
      </c>
      <c r="B18" s="40"/>
      <c r="C18" s="40"/>
      <c r="D18" s="40"/>
      <c r="E18" s="40"/>
      <c r="F18" s="40"/>
    </row>
    <row r="19" spans="1:6" ht="48" customHeight="1">
      <c r="A19" s="2" t="s">
        <v>83</v>
      </c>
      <c r="B19" s="2" t="s">
        <v>84</v>
      </c>
      <c r="C19" s="2" t="s">
        <v>85</v>
      </c>
      <c r="D19" s="2" t="s">
        <v>86</v>
      </c>
      <c r="E19" s="2" t="s">
        <v>89</v>
      </c>
      <c r="F19" s="2" t="s">
        <v>90</v>
      </c>
    </row>
    <row r="20" spans="1:6">
      <c r="A20" s="2">
        <v>1</v>
      </c>
      <c r="B20" s="11">
        <v>24</v>
      </c>
      <c r="C20" s="11">
        <v>23</v>
      </c>
      <c r="D20" s="11">
        <v>21</v>
      </c>
      <c r="E20" s="11">
        <v>131</v>
      </c>
      <c r="F20" s="12">
        <v>14.49</v>
      </c>
    </row>
    <row r="21" spans="1:6">
      <c r="A21" s="2">
        <v>2</v>
      </c>
      <c r="B21" s="11">
        <v>25</v>
      </c>
      <c r="C21" s="11">
        <v>24</v>
      </c>
      <c r="D21" s="11">
        <v>23</v>
      </c>
      <c r="E21" s="11">
        <v>141</v>
      </c>
      <c r="F21" s="12">
        <v>13.99</v>
      </c>
    </row>
    <row r="22" spans="1:6">
      <c r="A22" s="2">
        <v>3</v>
      </c>
      <c r="B22" s="11">
        <v>26</v>
      </c>
      <c r="C22" s="11">
        <v>25</v>
      </c>
      <c r="D22" s="11">
        <v>25</v>
      </c>
      <c r="E22" s="11">
        <v>151</v>
      </c>
      <c r="F22" s="12">
        <v>13.49</v>
      </c>
    </row>
    <row r="23" spans="1:6">
      <c r="A23" s="2">
        <v>4</v>
      </c>
      <c r="B23" s="11">
        <v>27</v>
      </c>
      <c r="C23" s="11">
        <v>26</v>
      </c>
      <c r="D23" s="11">
        <v>27</v>
      </c>
      <c r="E23" s="11">
        <v>161</v>
      </c>
      <c r="F23" s="12">
        <v>12.99</v>
      </c>
    </row>
    <row r="24" spans="1:6">
      <c r="A24" s="2">
        <v>5</v>
      </c>
      <c r="B24" s="11">
        <v>28</v>
      </c>
      <c r="C24" s="11">
        <v>27</v>
      </c>
      <c r="D24" s="11">
        <v>29</v>
      </c>
      <c r="E24" s="11">
        <v>171</v>
      </c>
      <c r="F24" s="12">
        <v>12.49</v>
      </c>
    </row>
    <row r="25" spans="1:6">
      <c r="A25" s="2">
        <v>6</v>
      </c>
      <c r="B25" s="11">
        <v>29</v>
      </c>
      <c r="C25" s="11">
        <v>28</v>
      </c>
      <c r="D25" s="11">
        <v>31</v>
      </c>
      <c r="E25" s="11">
        <v>181</v>
      </c>
      <c r="F25" s="12">
        <v>11.99</v>
      </c>
    </row>
    <row r="26" spans="1:6">
      <c r="A26" s="2">
        <v>7</v>
      </c>
      <c r="B26" s="11">
        <v>30</v>
      </c>
      <c r="C26" s="11">
        <v>29</v>
      </c>
      <c r="D26" s="11">
        <v>33</v>
      </c>
      <c r="E26" s="11">
        <v>191</v>
      </c>
      <c r="F26" s="12">
        <v>11.49</v>
      </c>
    </row>
    <row r="27" spans="1:6">
      <c r="A27" s="2">
        <v>8</v>
      </c>
      <c r="B27" s="11">
        <v>31</v>
      </c>
      <c r="C27" s="11">
        <v>30</v>
      </c>
      <c r="D27" s="11">
        <v>35</v>
      </c>
      <c r="E27" s="11">
        <v>201</v>
      </c>
      <c r="F27" s="12">
        <v>10.99</v>
      </c>
    </row>
    <row r="28" spans="1:6">
      <c r="A28" s="2">
        <v>9</v>
      </c>
      <c r="B28" s="11">
        <v>32</v>
      </c>
      <c r="C28" s="11">
        <v>31</v>
      </c>
      <c r="D28" s="11">
        <v>37</v>
      </c>
      <c r="E28" s="11">
        <v>211</v>
      </c>
      <c r="F28" s="12">
        <v>10.49</v>
      </c>
    </row>
    <row r="29" spans="1:6">
      <c r="A29" s="2">
        <v>10</v>
      </c>
      <c r="B29" s="11">
        <v>33</v>
      </c>
      <c r="C29" s="11">
        <v>32</v>
      </c>
      <c r="D29" s="11">
        <v>39</v>
      </c>
      <c r="E29" s="11">
        <v>221</v>
      </c>
      <c r="F29" s="12">
        <v>9.99</v>
      </c>
    </row>
    <row r="32" spans="1:6" ht="15" customHeight="1">
      <c r="A32" s="40" t="s">
        <v>91</v>
      </c>
      <c r="B32" s="40"/>
      <c r="C32" s="40"/>
      <c r="D32" s="40"/>
      <c r="E32" s="40"/>
      <c r="F32" s="40"/>
    </row>
    <row r="33" spans="1:6" ht="48" customHeight="1">
      <c r="A33" s="2" t="s">
        <v>83</v>
      </c>
      <c r="B33" s="2" t="s">
        <v>84</v>
      </c>
      <c r="C33" s="2" t="s">
        <v>85</v>
      </c>
      <c r="D33" s="2" t="s">
        <v>86</v>
      </c>
      <c r="E33" s="2" t="s">
        <v>92</v>
      </c>
      <c r="F33" s="2" t="s">
        <v>93</v>
      </c>
    </row>
    <row r="34" spans="1:6">
      <c r="A34" s="2">
        <v>1</v>
      </c>
      <c r="B34" s="11">
        <v>26</v>
      </c>
      <c r="C34" s="11">
        <v>25</v>
      </c>
      <c r="D34" s="11">
        <v>34</v>
      </c>
      <c r="E34" s="12">
        <v>14.8</v>
      </c>
      <c r="F34" s="11">
        <v>1</v>
      </c>
    </row>
    <row r="35" spans="1:6">
      <c r="A35" s="2">
        <v>2</v>
      </c>
      <c r="B35" s="11">
        <v>27</v>
      </c>
      <c r="C35" s="11">
        <v>26</v>
      </c>
      <c r="D35" s="11">
        <v>36</v>
      </c>
      <c r="E35" s="12">
        <v>14.6</v>
      </c>
      <c r="F35" s="11">
        <v>3</v>
      </c>
    </row>
    <row r="36" spans="1:6">
      <c r="A36" s="2">
        <v>3</v>
      </c>
      <c r="B36" s="11">
        <v>28</v>
      </c>
      <c r="C36" s="11">
        <v>27</v>
      </c>
      <c r="D36" s="11">
        <v>38</v>
      </c>
      <c r="E36" s="12">
        <v>14.4</v>
      </c>
      <c r="F36" s="11">
        <v>5</v>
      </c>
    </row>
    <row r="37" spans="1:6">
      <c r="A37" s="2">
        <v>4</v>
      </c>
      <c r="B37" s="11">
        <v>29</v>
      </c>
      <c r="C37" s="11">
        <v>28</v>
      </c>
      <c r="D37" s="11">
        <v>40</v>
      </c>
      <c r="E37" s="12">
        <v>14.2</v>
      </c>
      <c r="F37" s="11">
        <v>7</v>
      </c>
    </row>
    <row r="38" spans="1:6">
      <c r="A38" s="2">
        <v>5</v>
      </c>
      <c r="B38" s="11">
        <v>30</v>
      </c>
      <c r="C38" s="11">
        <v>29</v>
      </c>
      <c r="D38" s="11">
        <v>42</v>
      </c>
      <c r="E38" s="12">
        <v>14</v>
      </c>
      <c r="F38" s="11">
        <v>9</v>
      </c>
    </row>
    <row r="39" spans="1:6">
      <c r="A39" s="2">
        <v>6</v>
      </c>
      <c r="B39" s="11">
        <v>31</v>
      </c>
      <c r="C39" s="11">
        <v>30</v>
      </c>
      <c r="D39" s="11">
        <v>44</v>
      </c>
      <c r="E39" s="12">
        <v>13.8</v>
      </c>
      <c r="F39" s="11">
        <v>11</v>
      </c>
    </row>
    <row r="40" spans="1:6">
      <c r="A40" s="2">
        <v>7</v>
      </c>
      <c r="B40" s="11">
        <v>32</v>
      </c>
      <c r="C40" s="11">
        <v>31</v>
      </c>
      <c r="D40" s="11">
        <v>46</v>
      </c>
      <c r="E40" s="12">
        <v>13.6</v>
      </c>
      <c r="F40" s="11">
        <v>13</v>
      </c>
    </row>
    <row r="41" spans="1:6">
      <c r="A41" s="2">
        <v>8</v>
      </c>
      <c r="B41" s="11">
        <v>33</v>
      </c>
      <c r="C41" s="11">
        <v>32</v>
      </c>
      <c r="D41" s="11">
        <v>48</v>
      </c>
      <c r="E41" s="12">
        <v>13.4</v>
      </c>
      <c r="F41" s="11">
        <v>15</v>
      </c>
    </row>
    <row r="42" spans="1:6">
      <c r="A42" s="2">
        <v>9</v>
      </c>
      <c r="B42" s="11">
        <v>34</v>
      </c>
      <c r="C42" s="11">
        <v>33</v>
      </c>
      <c r="D42" s="11">
        <v>50</v>
      </c>
      <c r="E42" s="12">
        <v>13.2</v>
      </c>
      <c r="F42" s="11">
        <v>17</v>
      </c>
    </row>
    <row r="43" spans="1:6">
      <c r="A43" s="2">
        <v>10</v>
      </c>
      <c r="B43" s="11">
        <v>35</v>
      </c>
      <c r="C43" s="11">
        <v>34</v>
      </c>
      <c r="D43" s="11">
        <v>52</v>
      </c>
      <c r="E43" s="12">
        <v>13</v>
      </c>
      <c r="F43" s="11">
        <v>19</v>
      </c>
    </row>
    <row r="46" spans="1:6" ht="15" customHeight="1">
      <c r="A46" s="40" t="s">
        <v>94</v>
      </c>
      <c r="B46" s="40"/>
      <c r="C46" s="40"/>
      <c r="D46" s="40"/>
      <c r="E46" s="40"/>
      <c r="F46" s="40"/>
    </row>
    <row r="47" spans="1:6" ht="48" customHeight="1">
      <c r="A47" s="2" t="s">
        <v>83</v>
      </c>
      <c r="B47" s="2" t="s">
        <v>84</v>
      </c>
      <c r="C47" s="2" t="s">
        <v>85</v>
      </c>
      <c r="D47" s="2" t="s">
        <v>95</v>
      </c>
      <c r="E47" s="2" t="s">
        <v>96</v>
      </c>
      <c r="F47" s="2" t="s">
        <v>87</v>
      </c>
    </row>
    <row r="48" spans="1:6">
      <c r="A48" s="2">
        <v>1</v>
      </c>
      <c r="B48" s="11">
        <v>12</v>
      </c>
      <c r="C48" s="11">
        <v>9</v>
      </c>
      <c r="D48" s="11">
        <v>20</v>
      </c>
      <c r="E48" s="12">
        <v>14.99</v>
      </c>
      <c r="F48" s="12">
        <v>9.19</v>
      </c>
    </row>
    <row r="49" spans="1:6">
      <c r="A49" s="2">
        <v>2</v>
      </c>
      <c r="B49" s="11">
        <v>14</v>
      </c>
      <c r="C49" s="11">
        <v>11</v>
      </c>
      <c r="D49" s="11">
        <v>22</v>
      </c>
      <c r="E49" s="12">
        <v>14.49</v>
      </c>
      <c r="F49" s="12">
        <v>8.7899999999999991</v>
      </c>
    </row>
    <row r="50" spans="1:6">
      <c r="A50" s="2">
        <v>3</v>
      </c>
      <c r="B50" s="11">
        <v>16</v>
      </c>
      <c r="C50" s="11">
        <v>13</v>
      </c>
      <c r="D50" s="11">
        <v>24</v>
      </c>
      <c r="E50" s="12">
        <v>13.99</v>
      </c>
      <c r="F50" s="12">
        <v>8.39</v>
      </c>
    </row>
    <row r="51" spans="1:6">
      <c r="A51" s="2">
        <v>4</v>
      </c>
      <c r="B51" s="11">
        <v>18</v>
      </c>
      <c r="C51" s="11">
        <v>15</v>
      </c>
      <c r="D51" s="11">
        <v>26</v>
      </c>
      <c r="E51" s="12">
        <v>13.49</v>
      </c>
      <c r="F51" s="12">
        <v>7.99</v>
      </c>
    </row>
    <row r="52" spans="1:6">
      <c r="A52" s="2">
        <v>5</v>
      </c>
      <c r="B52" s="11">
        <v>20</v>
      </c>
      <c r="C52" s="11">
        <v>17</v>
      </c>
      <c r="D52" s="11">
        <v>28</v>
      </c>
      <c r="E52" s="12">
        <v>12.99</v>
      </c>
      <c r="F52" s="12">
        <v>7.59</v>
      </c>
    </row>
    <row r="53" spans="1:6">
      <c r="A53" s="2">
        <v>6</v>
      </c>
      <c r="B53" s="11">
        <v>22</v>
      </c>
      <c r="C53" s="11">
        <v>19</v>
      </c>
      <c r="D53" s="11">
        <v>30</v>
      </c>
      <c r="E53" s="12">
        <v>12.49</v>
      </c>
      <c r="F53" s="12">
        <v>7.19</v>
      </c>
    </row>
    <row r="54" spans="1:6">
      <c r="A54" s="2">
        <v>7</v>
      </c>
      <c r="B54" s="11">
        <v>24</v>
      </c>
      <c r="C54" s="11">
        <v>21</v>
      </c>
      <c r="D54" s="11">
        <v>32</v>
      </c>
      <c r="E54" s="12">
        <v>11.99</v>
      </c>
      <c r="F54" s="12">
        <v>6.79</v>
      </c>
    </row>
    <row r="55" spans="1:6">
      <c r="A55" s="2">
        <v>8</v>
      </c>
      <c r="B55" s="11">
        <v>26</v>
      </c>
      <c r="C55" s="11">
        <v>23</v>
      </c>
      <c r="D55" s="11">
        <v>34</v>
      </c>
      <c r="E55" s="12">
        <v>11.49</v>
      </c>
      <c r="F55" s="12">
        <v>6.39</v>
      </c>
    </row>
    <row r="56" spans="1:6">
      <c r="A56" s="2">
        <v>9</v>
      </c>
      <c r="B56" s="11">
        <v>28</v>
      </c>
      <c r="C56" s="11">
        <v>25</v>
      </c>
      <c r="D56" s="11">
        <v>36</v>
      </c>
      <c r="E56" s="12">
        <v>10.99</v>
      </c>
      <c r="F56" s="12">
        <v>5.99</v>
      </c>
    </row>
    <row r="57" spans="1:6">
      <c r="A57" s="2">
        <v>10</v>
      </c>
      <c r="B57" s="11">
        <v>30</v>
      </c>
      <c r="C57" s="11">
        <v>27</v>
      </c>
      <c r="D57" s="11">
        <v>38</v>
      </c>
      <c r="E57" s="12">
        <v>10.49</v>
      </c>
      <c r="F57" s="12">
        <v>5.59</v>
      </c>
    </row>
    <row r="60" spans="1:6" ht="15" customHeight="1">
      <c r="A60" s="40" t="s">
        <v>97</v>
      </c>
      <c r="B60" s="40"/>
      <c r="C60" s="40"/>
      <c r="D60" s="40"/>
      <c r="E60" s="40"/>
      <c r="F60" s="40"/>
    </row>
    <row r="61" spans="1:6" ht="48" customHeight="1">
      <c r="A61" s="2" t="s">
        <v>83</v>
      </c>
      <c r="B61" s="2" t="s">
        <v>84</v>
      </c>
      <c r="C61" s="2" t="s">
        <v>85</v>
      </c>
      <c r="D61" s="2" t="s">
        <v>95</v>
      </c>
      <c r="E61" s="2" t="s">
        <v>89</v>
      </c>
      <c r="F61" s="2" t="s">
        <v>90</v>
      </c>
    </row>
    <row r="62" spans="1:6">
      <c r="A62" s="2">
        <v>1</v>
      </c>
      <c r="B62" s="11">
        <v>11</v>
      </c>
      <c r="C62" s="11">
        <v>11</v>
      </c>
      <c r="D62" s="11">
        <v>21</v>
      </c>
      <c r="E62" s="11">
        <v>130</v>
      </c>
      <c r="F62" s="12">
        <v>15.49</v>
      </c>
    </row>
    <row r="63" spans="1:6">
      <c r="A63" s="2">
        <v>2</v>
      </c>
      <c r="B63" s="11">
        <v>13</v>
      </c>
      <c r="C63" s="11">
        <v>13</v>
      </c>
      <c r="D63" s="11">
        <v>23</v>
      </c>
      <c r="E63" s="11">
        <v>135</v>
      </c>
      <c r="F63" s="12">
        <v>14.99</v>
      </c>
    </row>
    <row r="64" spans="1:6">
      <c r="A64" s="2">
        <v>3</v>
      </c>
      <c r="B64" s="11">
        <v>15</v>
      </c>
      <c r="C64" s="11">
        <v>15</v>
      </c>
      <c r="D64" s="11">
        <v>25</v>
      </c>
      <c r="E64" s="11">
        <v>140</v>
      </c>
      <c r="F64" s="12">
        <v>14.49</v>
      </c>
    </row>
    <row r="65" spans="1:6">
      <c r="A65" s="2">
        <v>4</v>
      </c>
      <c r="B65" s="11">
        <v>17</v>
      </c>
      <c r="C65" s="11">
        <v>17</v>
      </c>
      <c r="D65" s="11">
        <v>27</v>
      </c>
      <c r="E65" s="11">
        <v>145</v>
      </c>
      <c r="F65" s="12">
        <v>13.99</v>
      </c>
    </row>
    <row r="66" spans="1:6">
      <c r="A66" s="2">
        <v>5</v>
      </c>
      <c r="B66" s="11">
        <v>19</v>
      </c>
      <c r="C66" s="11">
        <v>19</v>
      </c>
      <c r="D66" s="11">
        <v>29</v>
      </c>
      <c r="E66" s="11">
        <v>150</v>
      </c>
      <c r="F66" s="12">
        <v>13.49</v>
      </c>
    </row>
    <row r="67" spans="1:6">
      <c r="A67" s="2">
        <v>6</v>
      </c>
      <c r="B67" s="11">
        <v>21</v>
      </c>
      <c r="C67" s="11">
        <v>21</v>
      </c>
      <c r="D67" s="11">
        <v>31</v>
      </c>
      <c r="E67" s="11">
        <v>155</v>
      </c>
      <c r="F67" s="12">
        <v>12.99</v>
      </c>
    </row>
    <row r="68" spans="1:6">
      <c r="A68" s="2">
        <v>7</v>
      </c>
      <c r="B68" s="11">
        <v>23</v>
      </c>
      <c r="C68" s="11">
        <v>23</v>
      </c>
      <c r="D68" s="11">
        <v>33</v>
      </c>
      <c r="E68" s="11">
        <v>160</v>
      </c>
      <c r="F68" s="12">
        <v>12.49</v>
      </c>
    </row>
    <row r="69" spans="1:6">
      <c r="A69" s="2">
        <v>8</v>
      </c>
      <c r="B69" s="11">
        <v>25</v>
      </c>
      <c r="C69" s="11">
        <v>25</v>
      </c>
      <c r="D69" s="11">
        <v>35</v>
      </c>
      <c r="E69" s="11">
        <v>165</v>
      </c>
      <c r="F69" s="12">
        <v>11.99</v>
      </c>
    </row>
    <row r="70" spans="1:6">
      <c r="A70" s="2">
        <v>9</v>
      </c>
      <c r="B70" s="11">
        <v>27</v>
      </c>
      <c r="C70" s="11">
        <v>27</v>
      </c>
      <c r="D70" s="11">
        <v>37</v>
      </c>
      <c r="E70" s="11">
        <v>170</v>
      </c>
      <c r="F70" s="12">
        <v>11.49</v>
      </c>
    </row>
    <row r="71" spans="1:6">
      <c r="A71" s="2">
        <v>10</v>
      </c>
      <c r="B71" s="11">
        <v>29</v>
      </c>
      <c r="C71" s="11">
        <v>29</v>
      </c>
      <c r="D71" s="11">
        <v>39</v>
      </c>
      <c r="E71" s="11">
        <v>175</v>
      </c>
      <c r="F71" s="12">
        <v>10.99</v>
      </c>
    </row>
    <row r="74" spans="1:6" ht="31.5" customHeight="1">
      <c r="A74" s="41" t="s">
        <v>98</v>
      </c>
      <c r="B74" s="41"/>
      <c r="C74" s="41"/>
      <c r="D74" s="41"/>
      <c r="E74" s="41"/>
      <c r="F74" s="41"/>
    </row>
    <row r="75" spans="1:6" ht="31.5" customHeight="1">
      <c r="A75" s="39" t="s">
        <v>99</v>
      </c>
      <c r="B75" s="39"/>
      <c r="C75" s="39"/>
      <c r="D75" s="39"/>
      <c r="E75" s="39"/>
      <c r="F75" s="39"/>
    </row>
    <row r="76" spans="1:6" ht="31.5" customHeight="1">
      <c r="A76" s="39" t="s">
        <v>100</v>
      </c>
      <c r="B76" s="39"/>
      <c r="C76" s="39"/>
      <c r="D76" s="39"/>
      <c r="E76" s="39"/>
      <c r="F76" s="39"/>
    </row>
    <row r="77" spans="1:6" ht="31.5" customHeight="1">
      <c r="A77" s="39" t="s">
        <v>101</v>
      </c>
      <c r="B77" s="39"/>
      <c r="C77" s="39"/>
      <c r="D77" s="39"/>
      <c r="E77" s="39"/>
      <c r="F77" s="39"/>
    </row>
    <row r="78" spans="1:6" ht="31.5" customHeight="1">
      <c r="A78" s="39" t="s">
        <v>102</v>
      </c>
      <c r="B78" s="39"/>
      <c r="C78" s="39"/>
      <c r="D78" s="39"/>
      <c r="E78" s="39"/>
      <c r="F78" s="39"/>
    </row>
  </sheetData>
  <mergeCells count="12">
    <mergeCell ref="A1:L1"/>
    <mergeCell ref="A2:L2"/>
    <mergeCell ref="A4:E4"/>
    <mergeCell ref="A18:F18"/>
    <mergeCell ref="A32:F32"/>
    <mergeCell ref="A77:F77"/>
    <mergeCell ref="A78:F78"/>
    <mergeCell ref="A46:F46"/>
    <mergeCell ref="A60:F60"/>
    <mergeCell ref="A74:F74"/>
    <mergeCell ref="A75:F75"/>
    <mergeCell ref="A76:F7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3D"/>
    <pageSetUpPr fitToPage="1"/>
  </sheetPr>
  <dimension ref="A1:Z47"/>
  <sheetViews>
    <sheetView rightToLeft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5" sqref="C15"/>
    </sheetView>
  </sheetViews>
  <sheetFormatPr defaultColWidth="8.6640625" defaultRowHeight="14.4"/>
  <cols>
    <col min="1" max="1" width="7" customWidth="1"/>
    <col min="2" max="2" width="28" customWidth="1"/>
    <col min="3" max="3" width="14" customWidth="1"/>
    <col min="4" max="4" width="9" customWidth="1"/>
    <col min="5" max="20" width="10" customWidth="1"/>
    <col min="21" max="25" width="15" customWidth="1"/>
  </cols>
  <sheetData>
    <row r="1" spans="1:26" ht="30" customHeight="1">
      <c r="A1" s="35" t="s">
        <v>310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5" customHeight="1">
      <c r="A2" s="36" t="s">
        <v>57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43.5" customHeight="1">
      <c r="A3" s="43" t="s">
        <v>2</v>
      </c>
      <c r="B3" s="43" t="s">
        <v>103</v>
      </c>
      <c r="C3" s="43" t="s">
        <v>104</v>
      </c>
      <c r="D3" s="43" t="s">
        <v>105</v>
      </c>
      <c r="E3" s="43" t="s">
        <v>106</v>
      </c>
      <c r="F3" s="43"/>
      <c r="G3" s="43"/>
      <c r="H3" s="43"/>
      <c r="I3" s="43" t="s">
        <v>107</v>
      </c>
      <c r="J3" s="43"/>
      <c r="K3" s="43"/>
      <c r="L3" s="43"/>
      <c r="M3" s="43" t="s">
        <v>108</v>
      </c>
      <c r="N3" s="43"/>
      <c r="O3" s="43"/>
      <c r="P3" s="43"/>
      <c r="Q3" s="43" t="s">
        <v>109</v>
      </c>
      <c r="R3" s="43"/>
      <c r="S3" s="43"/>
      <c r="T3" s="43"/>
      <c r="U3" s="43" t="s">
        <v>110</v>
      </c>
      <c r="V3" s="43" t="s">
        <v>111</v>
      </c>
      <c r="W3" s="43" t="s">
        <v>112</v>
      </c>
      <c r="X3" s="43" t="s">
        <v>113</v>
      </c>
      <c r="Y3" s="43" t="s">
        <v>114</v>
      </c>
    </row>
    <row r="4" spans="1:26" ht="24" customHeight="1">
      <c r="A4" s="43"/>
      <c r="B4" s="43"/>
      <c r="C4" s="43"/>
      <c r="D4" s="43"/>
      <c r="E4" s="2" t="s">
        <v>115</v>
      </c>
      <c r="F4" s="2" t="s">
        <v>116</v>
      </c>
      <c r="G4" s="2" t="s">
        <v>117</v>
      </c>
      <c r="H4" s="2" t="s">
        <v>83</v>
      </c>
      <c r="I4" s="2" t="s">
        <v>115</v>
      </c>
      <c r="J4" s="2" t="s">
        <v>116</v>
      </c>
      <c r="K4" s="2" t="s">
        <v>117</v>
      </c>
      <c r="L4" s="2" t="s">
        <v>83</v>
      </c>
      <c r="M4" s="2" t="s">
        <v>115</v>
      </c>
      <c r="N4" s="2" t="s">
        <v>116</v>
      </c>
      <c r="O4" s="2" t="s">
        <v>117</v>
      </c>
      <c r="P4" s="2" t="s">
        <v>83</v>
      </c>
      <c r="Q4" s="2" t="s">
        <v>118</v>
      </c>
      <c r="R4" s="2" t="s">
        <v>119</v>
      </c>
      <c r="S4" s="2" t="s">
        <v>120</v>
      </c>
      <c r="T4" s="2" t="s">
        <v>83</v>
      </c>
      <c r="U4" s="43"/>
      <c r="V4" s="43"/>
      <c r="W4" s="43"/>
      <c r="X4" s="43"/>
      <c r="Y4" s="43"/>
    </row>
    <row r="5" spans="1:26">
      <c r="A5" s="7" t="s">
        <v>121</v>
      </c>
      <c r="B5" s="7" t="s">
        <v>122</v>
      </c>
      <c r="C5" s="7" t="s">
        <v>123</v>
      </c>
      <c r="D5" s="7" t="s">
        <v>124</v>
      </c>
      <c r="E5" s="13">
        <v>21</v>
      </c>
      <c r="F5" s="13">
        <v>22</v>
      </c>
      <c r="G5" s="14">
        <f t="shared" ref="G5:G45" si="0">IF(COUNT(E5:F5)=0,"",AVERAGE(E5:F5))</f>
        <v>21.5</v>
      </c>
      <c r="H5" s="15">
        <f>IF(G5="","",SUMPRODUCT(--(G5&gt;=المساطر!$B$6:$B$15)))</f>
        <v>5</v>
      </c>
      <c r="I5" s="13">
        <v>23</v>
      </c>
      <c r="J5" s="13">
        <v>22</v>
      </c>
      <c r="K5" s="14">
        <f t="shared" ref="K5:K45" si="1">IF(COUNT(I5:J5)=0,"",AVERAGE(I5:J5))</f>
        <v>22.5</v>
      </c>
      <c r="L5" s="15">
        <f>IF(K5="","",SUMPRODUCT(--(K5&gt;=المساطر!$C$6:$C$15)))</f>
        <v>5</v>
      </c>
      <c r="M5" s="13">
        <v>20</v>
      </c>
      <c r="N5" s="13">
        <v>19</v>
      </c>
      <c r="O5" s="14">
        <f t="shared" ref="O5:O45" si="2">IF(COUNT(M5:N5)=0,"",AVERAGE(M5:N5))</f>
        <v>19.5</v>
      </c>
      <c r="P5" s="15">
        <f>IF(O5="","",SUMPRODUCT(--(O5&gt;=المساطر!$D$6:$D$15)))</f>
        <v>5</v>
      </c>
      <c r="Q5" s="16">
        <v>5.9</v>
      </c>
      <c r="R5" s="16">
        <v>6.1</v>
      </c>
      <c r="S5" s="17">
        <f t="shared" ref="S5:S45" si="3">IF(COUNT(Q5:R5)=0,"",MIN(Q5:R5))</f>
        <v>5.9</v>
      </c>
      <c r="T5" s="15">
        <f>IF(S5="","",SUMPRODUCT(--(S5&lt;=المساطر!$E$6:$E$15)))</f>
        <v>6</v>
      </c>
      <c r="U5" s="15">
        <f t="shared" ref="U5:U45" si="4">IF(COUNT(H5,L5,P5,T5)=4,SUM(H5,L5,P5,T5),"")</f>
        <v>21</v>
      </c>
      <c r="V5" s="14">
        <f t="shared" ref="V5:V45" si="5">IF(U5="","",U5/4)</f>
        <v>5.25</v>
      </c>
      <c r="W5" s="18" t="str">
        <f t="shared" ref="W5:W45" si="6">IF(V5="","",IF(ROUND(V5,0)&gt;=9,"ممتاز",IF(ROUND(V5,0)&gt;=7,"جيد جدا",IF(ROUND(V5,0)&gt;=5,"جيد",IF(ROUND(V5,0)&gt;=3,"مقبول","ضعيف")))))</f>
        <v>جيد</v>
      </c>
      <c r="X5" s="14">
        <f t="shared" ref="X5:X45" si="7">IF(COUNT(G5,K5,O5)=3,SUM(G5,K5,O5),"")</f>
        <v>63.5</v>
      </c>
      <c r="Y5" s="15">
        <f t="shared" ref="Y5:Y45" si="8">IF(U5="","",1+COUNTIF($U$6:$U$45,"&gt;"&amp;U5)+COUNTIFS($U$6:$U$45,U5,$X$6:$X$45,"&gt;"&amp;X5))</f>
        <v>1</v>
      </c>
    </row>
    <row r="6" spans="1:26">
      <c r="A6" s="19">
        <v>1</v>
      </c>
      <c r="B6" s="5"/>
      <c r="C6" s="5"/>
      <c r="D6" s="5"/>
      <c r="E6" s="20"/>
      <c r="F6" s="20"/>
      <c r="G6" s="21" t="str">
        <f t="shared" si="0"/>
        <v/>
      </c>
      <c r="H6" s="22" t="str">
        <f>IF(G6="","",SUMPRODUCT(--(G6&gt;=المساطر!$B$6:$B$15)))</f>
        <v/>
      </c>
      <c r="I6" s="20"/>
      <c r="J6" s="20"/>
      <c r="K6" s="21" t="str">
        <f t="shared" si="1"/>
        <v/>
      </c>
      <c r="L6" s="22" t="str">
        <f>IF(K6="","",SUMPRODUCT(--(K6&gt;=المساطر!$C$6:$C$15)))</f>
        <v/>
      </c>
      <c r="M6" s="20"/>
      <c r="N6" s="20"/>
      <c r="O6" s="21" t="str">
        <f t="shared" si="2"/>
        <v/>
      </c>
      <c r="P6" s="22" t="str">
        <f>IF(O6="","",SUMPRODUCT(--(O6&gt;=المساطر!$D$6:$D$15)))</f>
        <v/>
      </c>
      <c r="Q6" s="12"/>
      <c r="R6" s="12"/>
      <c r="S6" s="23" t="str">
        <f t="shared" si="3"/>
        <v/>
      </c>
      <c r="T6" s="22" t="str">
        <f>IF(S6="","",SUMPRODUCT(--(S6&lt;=المساطر!$E$6:$E$15)))</f>
        <v/>
      </c>
      <c r="U6" s="22" t="str">
        <f t="shared" si="4"/>
        <v/>
      </c>
      <c r="V6" s="21" t="str">
        <f t="shared" si="5"/>
        <v/>
      </c>
      <c r="W6" s="4" t="str">
        <f t="shared" si="6"/>
        <v/>
      </c>
      <c r="X6" s="21" t="str">
        <f t="shared" si="7"/>
        <v/>
      </c>
      <c r="Y6" s="22" t="str">
        <f t="shared" si="8"/>
        <v/>
      </c>
    </row>
    <row r="7" spans="1:26">
      <c r="A7" s="19">
        <v>2</v>
      </c>
      <c r="B7" s="5"/>
      <c r="C7" s="5"/>
      <c r="D7" s="5"/>
      <c r="E7" s="20"/>
      <c r="F7" s="20"/>
      <c r="G7" s="21" t="str">
        <f t="shared" si="0"/>
        <v/>
      </c>
      <c r="H7" s="22" t="str">
        <f>IF(G7="","",SUMPRODUCT(--(G7&gt;=المساطر!$B$6:$B$15)))</f>
        <v/>
      </c>
      <c r="I7" s="20"/>
      <c r="J7" s="20"/>
      <c r="K7" s="21" t="str">
        <f t="shared" si="1"/>
        <v/>
      </c>
      <c r="L7" s="22" t="str">
        <f>IF(K7="","",SUMPRODUCT(--(K7&gt;=المساطر!$C$6:$C$15)))</f>
        <v/>
      </c>
      <c r="M7" s="20"/>
      <c r="N7" s="20"/>
      <c r="O7" s="21" t="str">
        <f t="shared" si="2"/>
        <v/>
      </c>
      <c r="P7" s="22" t="str">
        <f>IF(O7="","",SUMPRODUCT(--(O7&gt;=المساطر!$D$6:$D$15)))</f>
        <v/>
      </c>
      <c r="Q7" s="12"/>
      <c r="R7" s="12"/>
      <c r="S7" s="23" t="str">
        <f t="shared" si="3"/>
        <v/>
      </c>
      <c r="T7" s="22" t="str">
        <f>IF(S7="","",SUMPRODUCT(--(S7&lt;=المساطر!$E$6:$E$15)))</f>
        <v/>
      </c>
      <c r="U7" s="22" t="str">
        <f t="shared" si="4"/>
        <v/>
      </c>
      <c r="V7" s="21" t="str">
        <f t="shared" si="5"/>
        <v/>
      </c>
      <c r="W7" s="4" t="str">
        <f t="shared" si="6"/>
        <v/>
      </c>
      <c r="X7" s="21" t="str">
        <f t="shared" si="7"/>
        <v/>
      </c>
      <c r="Y7" s="22" t="str">
        <f t="shared" si="8"/>
        <v/>
      </c>
    </row>
    <row r="8" spans="1:26">
      <c r="A8" s="19">
        <v>3</v>
      </c>
      <c r="B8" s="5"/>
      <c r="C8" s="5"/>
      <c r="D8" s="5"/>
      <c r="E8" s="20"/>
      <c r="F8" s="20"/>
      <c r="G8" s="21" t="str">
        <f t="shared" si="0"/>
        <v/>
      </c>
      <c r="H8" s="22" t="str">
        <f>IF(G8="","",SUMPRODUCT(--(G8&gt;=المساطر!$B$6:$B$15)))</f>
        <v/>
      </c>
      <c r="I8" s="20"/>
      <c r="J8" s="20"/>
      <c r="K8" s="21" t="str">
        <f t="shared" si="1"/>
        <v/>
      </c>
      <c r="L8" s="22" t="str">
        <f>IF(K8="","",SUMPRODUCT(--(K8&gt;=المساطر!$C$6:$C$15)))</f>
        <v/>
      </c>
      <c r="M8" s="20"/>
      <c r="N8" s="20"/>
      <c r="O8" s="21" t="str">
        <f t="shared" si="2"/>
        <v/>
      </c>
      <c r="P8" s="22" t="str">
        <f>IF(O8="","",SUMPRODUCT(--(O8&gt;=المساطر!$D$6:$D$15)))</f>
        <v/>
      </c>
      <c r="Q8" s="12"/>
      <c r="R8" s="12"/>
      <c r="S8" s="23" t="str">
        <f t="shared" si="3"/>
        <v/>
      </c>
      <c r="T8" s="22" t="str">
        <f>IF(S8="","",SUMPRODUCT(--(S8&lt;=المساطر!$E$6:$E$15)))</f>
        <v/>
      </c>
      <c r="U8" s="22" t="str">
        <f t="shared" si="4"/>
        <v/>
      </c>
      <c r="V8" s="21" t="str">
        <f t="shared" si="5"/>
        <v/>
      </c>
      <c r="W8" s="4" t="str">
        <f t="shared" si="6"/>
        <v/>
      </c>
      <c r="X8" s="21" t="str">
        <f t="shared" si="7"/>
        <v/>
      </c>
      <c r="Y8" s="22" t="str">
        <f t="shared" si="8"/>
        <v/>
      </c>
    </row>
    <row r="9" spans="1:26">
      <c r="A9" s="19">
        <v>4</v>
      </c>
      <c r="B9" s="5"/>
      <c r="C9" s="5"/>
      <c r="D9" s="5"/>
      <c r="E9" s="20"/>
      <c r="F9" s="20"/>
      <c r="G9" s="21" t="str">
        <f t="shared" si="0"/>
        <v/>
      </c>
      <c r="H9" s="22" t="str">
        <f>IF(G9="","",SUMPRODUCT(--(G9&gt;=المساطر!$B$6:$B$15)))</f>
        <v/>
      </c>
      <c r="I9" s="20"/>
      <c r="J9" s="20"/>
      <c r="K9" s="21" t="str">
        <f t="shared" si="1"/>
        <v/>
      </c>
      <c r="L9" s="22" t="str">
        <f>IF(K9="","",SUMPRODUCT(--(K9&gt;=المساطر!$C$6:$C$15)))</f>
        <v/>
      </c>
      <c r="M9" s="20"/>
      <c r="N9" s="20"/>
      <c r="O9" s="21" t="str">
        <f t="shared" si="2"/>
        <v/>
      </c>
      <c r="P9" s="22" t="str">
        <f>IF(O9="","",SUMPRODUCT(--(O9&gt;=المساطر!$D$6:$D$15)))</f>
        <v/>
      </c>
      <c r="Q9" s="12"/>
      <c r="R9" s="12"/>
      <c r="S9" s="23" t="str">
        <f t="shared" si="3"/>
        <v/>
      </c>
      <c r="T9" s="22" t="str">
        <f>IF(S9="","",SUMPRODUCT(--(S9&lt;=المساطر!$E$6:$E$15)))</f>
        <v/>
      </c>
      <c r="U9" s="22" t="str">
        <f t="shared" si="4"/>
        <v/>
      </c>
      <c r="V9" s="21" t="str">
        <f t="shared" si="5"/>
        <v/>
      </c>
      <c r="W9" s="4" t="str">
        <f t="shared" si="6"/>
        <v/>
      </c>
      <c r="X9" s="21" t="str">
        <f t="shared" si="7"/>
        <v/>
      </c>
      <c r="Y9" s="22" t="str">
        <f t="shared" si="8"/>
        <v/>
      </c>
    </row>
    <row r="10" spans="1:26">
      <c r="A10" s="19">
        <v>5</v>
      </c>
      <c r="B10" s="5"/>
      <c r="C10" s="5"/>
      <c r="D10" s="5"/>
      <c r="E10" s="20"/>
      <c r="F10" s="20"/>
      <c r="G10" s="21" t="str">
        <f t="shared" si="0"/>
        <v/>
      </c>
      <c r="H10" s="22" t="str">
        <f>IF(G10="","",SUMPRODUCT(--(G10&gt;=المساطر!$B$6:$B$15)))</f>
        <v/>
      </c>
      <c r="I10" s="20"/>
      <c r="J10" s="20"/>
      <c r="K10" s="21" t="str">
        <f t="shared" si="1"/>
        <v/>
      </c>
      <c r="L10" s="22" t="str">
        <f>IF(K10="","",SUMPRODUCT(--(K10&gt;=المساطر!$C$6:$C$15)))</f>
        <v/>
      </c>
      <c r="M10" s="20"/>
      <c r="N10" s="20"/>
      <c r="O10" s="21" t="str">
        <f t="shared" si="2"/>
        <v/>
      </c>
      <c r="P10" s="22" t="str">
        <f>IF(O10="","",SUMPRODUCT(--(O10&gt;=المساطر!$D$6:$D$15)))</f>
        <v/>
      </c>
      <c r="Q10" s="12"/>
      <c r="R10" s="12"/>
      <c r="S10" s="23" t="str">
        <f t="shared" si="3"/>
        <v/>
      </c>
      <c r="T10" s="22" t="str">
        <f>IF(S10="","",SUMPRODUCT(--(S10&lt;=المساطر!$E$6:$E$15)))</f>
        <v/>
      </c>
      <c r="U10" s="22" t="str">
        <f t="shared" si="4"/>
        <v/>
      </c>
      <c r="V10" s="21" t="str">
        <f t="shared" si="5"/>
        <v/>
      </c>
      <c r="W10" s="4" t="str">
        <f t="shared" si="6"/>
        <v/>
      </c>
      <c r="X10" s="21" t="str">
        <f t="shared" si="7"/>
        <v/>
      </c>
      <c r="Y10" s="22" t="str">
        <f t="shared" si="8"/>
        <v/>
      </c>
    </row>
    <row r="11" spans="1:26">
      <c r="A11" s="19">
        <v>6</v>
      </c>
      <c r="B11" s="5"/>
      <c r="C11" s="5"/>
      <c r="D11" s="5"/>
      <c r="E11" s="20"/>
      <c r="F11" s="20"/>
      <c r="G11" s="21" t="str">
        <f t="shared" si="0"/>
        <v/>
      </c>
      <c r="H11" s="22" t="str">
        <f>IF(G11="","",SUMPRODUCT(--(G11&gt;=المساطر!$B$6:$B$15)))</f>
        <v/>
      </c>
      <c r="I11" s="20"/>
      <c r="J11" s="20"/>
      <c r="K11" s="21" t="str">
        <f t="shared" si="1"/>
        <v/>
      </c>
      <c r="L11" s="22" t="str">
        <f>IF(K11="","",SUMPRODUCT(--(K11&gt;=المساطر!$C$6:$C$15)))</f>
        <v/>
      </c>
      <c r="M11" s="20"/>
      <c r="N11" s="20"/>
      <c r="O11" s="21" t="str">
        <f t="shared" si="2"/>
        <v/>
      </c>
      <c r="P11" s="22" t="str">
        <f>IF(O11="","",SUMPRODUCT(--(O11&gt;=المساطر!$D$6:$D$15)))</f>
        <v/>
      </c>
      <c r="Q11" s="12"/>
      <c r="R11" s="12"/>
      <c r="S11" s="23" t="str">
        <f t="shared" si="3"/>
        <v/>
      </c>
      <c r="T11" s="22" t="str">
        <f>IF(S11="","",SUMPRODUCT(--(S11&lt;=المساطر!$E$6:$E$15)))</f>
        <v/>
      </c>
      <c r="U11" s="22" t="str">
        <f t="shared" si="4"/>
        <v/>
      </c>
      <c r="V11" s="21" t="str">
        <f t="shared" si="5"/>
        <v/>
      </c>
      <c r="W11" s="4" t="str">
        <f t="shared" si="6"/>
        <v/>
      </c>
      <c r="X11" s="21" t="str">
        <f t="shared" si="7"/>
        <v/>
      </c>
      <c r="Y11" s="22" t="str">
        <f t="shared" si="8"/>
        <v/>
      </c>
    </row>
    <row r="12" spans="1:26">
      <c r="A12" s="19">
        <v>7</v>
      </c>
      <c r="B12" s="5"/>
      <c r="C12" s="5"/>
      <c r="D12" s="5"/>
      <c r="E12" s="20"/>
      <c r="F12" s="20"/>
      <c r="G12" s="21" t="str">
        <f t="shared" si="0"/>
        <v/>
      </c>
      <c r="H12" s="22" t="str">
        <f>IF(G12="","",SUMPRODUCT(--(G12&gt;=المساطر!$B$6:$B$15)))</f>
        <v/>
      </c>
      <c r="I12" s="20"/>
      <c r="J12" s="20"/>
      <c r="K12" s="21" t="str">
        <f t="shared" si="1"/>
        <v/>
      </c>
      <c r="L12" s="22" t="str">
        <f>IF(K12="","",SUMPRODUCT(--(K12&gt;=المساطر!$C$6:$C$15)))</f>
        <v/>
      </c>
      <c r="M12" s="20"/>
      <c r="N12" s="20"/>
      <c r="O12" s="21" t="str">
        <f t="shared" si="2"/>
        <v/>
      </c>
      <c r="P12" s="22" t="str">
        <f>IF(O12="","",SUMPRODUCT(--(O12&gt;=المساطر!$D$6:$D$15)))</f>
        <v/>
      </c>
      <c r="Q12" s="12"/>
      <c r="R12" s="12"/>
      <c r="S12" s="23" t="str">
        <f t="shared" si="3"/>
        <v/>
      </c>
      <c r="T12" s="22" t="str">
        <f>IF(S12="","",SUMPRODUCT(--(S12&lt;=المساطر!$E$6:$E$15)))</f>
        <v/>
      </c>
      <c r="U12" s="22" t="str">
        <f t="shared" si="4"/>
        <v/>
      </c>
      <c r="V12" s="21" t="str">
        <f t="shared" si="5"/>
        <v/>
      </c>
      <c r="W12" s="4" t="str">
        <f t="shared" si="6"/>
        <v/>
      </c>
      <c r="X12" s="21" t="str">
        <f t="shared" si="7"/>
        <v/>
      </c>
      <c r="Y12" s="22" t="str">
        <f t="shared" si="8"/>
        <v/>
      </c>
    </row>
    <row r="13" spans="1:26">
      <c r="A13" s="19">
        <v>8</v>
      </c>
      <c r="B13" s="5"/>
      <c r="C13" s="5"/>
      <c r="D13" s="5"/>
      <c r="E13" s="20"/>
      <c r="F13" s="20"/>
      <c r="G13" s="21" t="str">
        <f t="shared" si="0"/>
        <v/>
      </c>
      <c r="H13" s="22" t="str">
        <f>IF(G13="","",SUMPRODUCT(--(G13&gt;=المساطر!$B$6:$B$15)))</f>
        <v/>
      </c>
      <c r="I13" s="20"/>
      <c r="J13" s="20"/>
      <c r="K13" s="21" t="str">
        <f t="shared" si="1"/>
        <v/>
      </c>
      <c r="L13" s="22" t="str">
        <f>IF(K13="","",SUMPRODUCT(--(K13&gt;=المساطر!$C$6:$C$15)))</f>
        <v/>
      </c>
      <c r="M13" s="20"/>
      <c r="N13" s="20"/>
      <c r="O13" s="21" t="str">
        <f t="shared" si="2"/>
        <v/>
      </c>
      <c r="P13" s="22" t="str">
        <f>IF(O13="","",SUMPRODUCT(--(O13&gt;=المساطر!$D$6:$D$15)))</f>
        <v/>
      </c>
      <c r="Q13" s="12"/>
      <c r="R13" s="12"/>
      <c r="S13" s="23" t="str">
        <f t="shared" si="3"/>
        <v/>
      </c>
      <c r="T13" s="22" t="str">
        <f>IF(S13="","",SUMPRODUCT(--(S13&lt;=المساطر!$E$6:$E$15)))</f>
        <v/>
      </c>
      <c r="U13" s="22" t="str">
        <f t="shared" si="4"/>
        <v/>
      </c>
      <c r="V13" s="21" t="str">
        <f t="shared" si="5"/>
        <v/>
      </c>
      <c r="W13" s="4" t="str">
        <f t="shared" si="6"/>
        <v/>
      </c>
      <c r="X13" s="21" t="str">
        <f t="shared" si="7"/>
        <v/>
      </c>
      <c r="Y13" s="22" t="str">
        <f t="shared" si="8"/>
        <v/>
      </c>
    </row>
    <row r="14" spans="1:26">
      <c r="A14" s="19">
        <v>9</v>
      </c>
      <c r="B14" s="5"/>
      <c r="C14" s="5"/>
      <c r="D14" s="5"/>
      <c r="E14" s="20"/>
      <c r="F14" s="20"/>
      <c r="G14" s="21" t="str">
        <f t="shared" si="0"/>
        <v/>
      </c>
      <c r="H14" s="22" t="str">
        <f>IF(G14="","",SUMPRODUCT(--(G14&gt;=المساطر!$B$6:$B$15)))</f>
        <v/>
      </c>
      <c r="I14" s="20"/>
      <c r="J14" s="20"/>
      <c r="K14" s="21" t="str">
        <f t="shared" si="1"/>
        <v/>
      </c>
      <c r="L14" s="22" t="str">
        <f>IF(K14="","",SUMPRODUCT(--(K14&gt;=المساطر!$C$6:$C$15)))</f>
        <v/>
      </c>
      <c r="M14" s="20"/>
      <c r="N14" s="20"/>
      <c r="O14" s="21" t="str">
        <f t="shared" si="2"/>
        <v/>
      </c>
      <c r="P14" s="22" t="str">
        <f>IF(O14="","",SUMPRODUCT(--(O14&gt;=المساطر!$D$6:$D$15)))</f>
        <v/>
      </c>
      <c r="Q14" s="12"/>
      <c r="R14" s="12"/>
      <c r="S14" s="23" t="str">
        <f t="shared" si="3"/>
        <v/>
      </c>
      <c r="T14" s="22" t="str">
        <f>IF(S14="","",SUMPRODUCT(--(S14&lt;=المساطر!$E$6:$E$15)))</f>
        <v/>
      </c>
      <c r="U14" s="22" t="str">
        <f t="shared" si="4"/>
        <v/>
      </c>
      <c r="V14" s="21" t="str">
        <f t="shared" si="5"/>
        <v/>
      </c>
      <c r="W14" s="4" t="str">
        <f t="shared" si="6"/>
        <v/>
      </c>
      <c r="X14" s="21" t="str">
        <f t="shared" si="7"/>
        <v/>
      </c>
      <c r="Y14" s="22" t="str">
        <f t="shared" si="8"/>
        <v/>
      </c>
    </row>
    <row r="15" spans="1:26">
      <c r="A15" s="19">
        <v>10</v>
      </c>
      <c r="B15" s="5"/>
      <c r="C15" s="5"/>
      <c r="D15" s="5"/>
      <c r="E15" s="20"/>
      <c r="F15" s="20"/>
      <c r="G15" s="21" t="str">
        <f t="shared" si="0"/>
        <v/>
      </c>
      <c r="H15" s="22" t="str">
        <f>IF(G15="","",SUMPRODUCT(--(G15&gt;=المساطر!$B$6:$B$15)))</f>
        <v/>
      </c>
      <c r="I15" s="20"/>
      <c r="J15" s="20"/>
      <c r="K15" s="21" t="str">
        <f t="shared" si="1"/>
        <v/>
      </c>
      <c r="L15" s="22" t="str">
        <f>IF(K15="","",SUMPRODUCT(--(K15&gt;=المساطر!$C$6:$C$15)))</f>
        <v/>
      </c>
      <c r="M15" s="20"/>
      <c r="N15" s="20"/>
      <c r="O15" s="21" t="str">
        <f t="shared" si="2"/>
        <v/>
      </c>
      <c r="P15" s="22" t="str">
        <f>IF(O15="","",SUMPRODUCT(--(O15&gt;=المساطر!$D$6:$D$15)))</f>
        <v/>
      </c>
      <c r="Q15" s="12"/>
      <c r="R15" s="12"/>
      <c r="S15" s="23" t="str">
        <f t="shared" si="3"/>
        <v/>
      </c>
      <c r="T15" s="22" t="str">
        <f>IF(S15="","",SUMPRODUCT(--(S15&lt;=المساطر!$E$6:$E$15)))</f>
        <v/>
      </c>
      <c r="U15" s="22" t="str">
        <f t="shared" si="4"/>
        <v/>
      </c>
      <c r="V15" s="21" t="str">
        <f t="shared" si="5"/>
        <v/>
      </c>
      <c r="W15" s="4" t="str">
        <f t="shared" si="6"/>
        <v/>
      </c>
      <c r="X15" s="21" t="str">
        <f t="shared" si="7"/>
        <v/>
      </c>
      <c r="Y15" s="22" t="str">
        <f t="shared" si="8"/>
        <v/>
      </c>
    </row>
    <row r="16" spans="1:26">
      <c r="A16" s="19">
        <v>11</v>
      </c>
      <c r="B16" s="5"/>
      <c r="C16" s="5"/>
      <c r="D16" s="5"/>
      <c r="E16" s="20"/>
      <c r="F16" s="20"/>
      <c r="G16" s="21" t="str">
        <f t="shared" si="0"/>
        <v/>
      </c>
      <c r="H16" s="22" t="str">
        <f>IF(G16="","",SUMPRODUCT(--(G16&gt;=المساطر!$B$6:$B$15)))</f>
        <v/>
      </c>
      <c r="I16" s="20"/>
      <c r="J16" s="20"/>
      <c r="K16" s="21" t="str">
        <f t="shared" si="1"/>
        <v/>
      </c>
      <c r="L16" s="22" t="str">
        <f>IF(K16="","",SUMPRODUCT(--(K16&gt;=المساطر!$C$6:$C$15)))</f>
        <v/>
      </c>
      <c r="M16" s="20"/>
      <c r="N16" s="20"/>
      <c r="O16" s="21" t="str">
        <f t="shared" si="2"/>
        <v/>
      </c>
      <c r="P16" s="22" t="str">
        <f>IF(O16="","",SUMPRODUCT(--(O16&gt;=المساطر!$D$6:$D$15)))</f>
        <v/>
      </c>
      <c r="Q16" s="12"/>
      <c r="R16" s="12"/>
      <c r="S16" s="23" t="str">
        <f t="shared" si="3"/>
        <v/>
      </c>
      <c r="T16" s="22" t="str">
        <f>IF(S16="","",SUMPRODUCT(--(S16&lt;=المساطر!$E$6:$E$15)))</f>
        <v/>
      </c>
      <c r="U16" s="22" t="str">
        <f t="shared" si="4"/>
        <v/>
      </c>
      <c r="V16" s="21" t="str">
        <f t="shared" si="5"/>
        <v/>
      </c>
      <c r="W16" s="4" t="str">
        <f t="shared" si="6"/>
        <v/>
      </c>
      <c r="X16" s="21" t="str">
        <f t="shared" si="7"/>
        <v/>
      </c>
      <c r="Y16" s="22" t="str">
        <f t="shared" si="8"/>
        <v/>
      </c>
    </row>
    <row r="17" spans="1:25">
      <c r="A17" s="19">
        <v>12</v>
      </c>
      <c r="B17" s="5"/>
      <c r="C17" s="5"/>
      <c r="D17" s="5"/>
      <c r="E17" s="20"/>
      <c r="F17" s="20"/>
      <c r="G17" s="21" t="str">
        <f t="shared" si="0"/>
        <v/>
      </c>
      <c r="H17" s="22" t="str">
        <f>IF(G17="","",SUMPRODUCT(--(G17&gt;=المساطر!$B$6:$B$15)))</f>
        <v/>
      </c>
      <c r="I17" s="20"/>
      <c r="J17" s="20"/>
      <c r="K17" s="21" t="str">
        <f t="shared" si="1"/>
        <v/>
      </c>
      <c r="L17" s="22" t="str">
        <f>IF(K17="","",SUMPRODUCT(--(K17&gt;=المساطر!$C$6:$C$15)))</f>
        <v/>
      </c>
      <c r="M17" s="20"/>
      <c r="N17" s="20"/>
      <c r="O17" s="21" t="str">
        <f t="shared" si="2"/>
        <v/>
      </c>
      <c r="P17" s="22" t="str">
        <f>IF(O17="","",SUMPRODUCT(--(O17&gt;=المساطر!$D$6:$D$15)))</f>
        <v/>
      </c>
      <c r="Q17" s="12"/>
      <c r="R17" s="12"/>
      <c r="S17" s="23" t="str">
        <f t="shared" si="3"/>
        <v/>
      </c>
      <c r="T17" s="22" t="str">
        <f>IF(S17="","",SUMPRODUCT(--(S17&lt;=المساطر!$E$6:$E$15)))</f>
        <v/>
      </c>
      <c r="U17" s="22" t="str">
        <f t="shared" si="4"/>
        <v/>
      </c>
      <c r="V17" s="21" t="str">
        <f t="shared" si="5"/>
        <v/>
      </c>
      <c r="W17" s="4" t="str">
        <f t="shared" si="6"/>
        <v/>
      </c>
      <c r="X17" s="21" t="str">
        <f t="shared" si="7"/>
        <v/>
      </c>
      <c r="Y17" s="22" t="str">
        <f t="shared" si="8"/>
        <v/>
      </c>
    </row>
    <row r="18" spans="1:25">
      <c r="A18" s="19">
        <v>13</v>
      </c>
      <c r="B18" s="5"/>
      <c r="C18" s="5"/>
      <c r="D18" s="5"/>
      <c r="E18" s="20"/>
      <c r="F18" s="20"/>
      <c r="G18" s="21" t="str">
        <f t="shared" si="0"/>
        <v/>
      </c>
      <c r="H18" s="22" t="str">
        <f>IF(G18="","",SUMPRODUCT(--(G18&gt;=المساطر!$B$6:$B$15)))</f>
        <v/>
      </c>
      <c r="I18" s="20"/>
      <c r="J18" s="20"/>
      <c r="K18" s="21" t="str">
        <f t="shared" si="1"/>
        <v/>
      </c>
      <c r="L18" s="22" t="str">
        <f>IF(K18="","",SUMPRODUCT(--(K18&gt;=المساطر!$C$6:$C$15)))</f>
        <v/>
      </c>
      <c r="M18" s="20"/>
      <c r="N18" s="20"/>
      <c r="O18" s="21" t="str">
        <f t="shared" si="2"/>
        <v/>
      </c>
      <c r="P18" s="22" t="str">
        <f>IF(O18="","",SUMPRODUCT(--(O18&gt;=المساطر!$D$6:$D$15)))</f>
        <v/>
      </c>
      <c r="Q18" s="12"/>
      <c r="R18" s="12"/>
      <c r="S18" s="23" t="str">
        <f t="shared" si="3"/>
        <v/>
      </c>
      <c r="T18" s="22" t="str">
        <f>IF(S18="","",SUMPRODUCT(--(S18&lt;=المساطر!$E$6:$E$15)))</f>
        <v/>
      </c>
      <c r="U18" s="22" t="str">
        <f t="shared" si="4"/>
        <v/>
      </c>
      <c r="V18" s="21" t="str">
        <f t="shared" si="5"/>
        <v/>
      </c>
      <c r="W18" s="4" t="str">
        <f t="shared" si="6"/>
        <v/>
      </c>
      <c r="X18" s="21" t="str">
        <f t="shared" si="7"/>
        <v/>
      </c>
      <c r="Y18" s="22" t="str">
        <f t="shared" si="8"/>
        <v/>
      </c>
    </row>
    <row r="19" spans="1:25">
      <c r="A19" s="19">
        <v>14</v>
      </c>
      <c r="B19" s="5"/>
      <c r="C19" s="5"/>
      <c r="D19" s="5"/>
      <c r="E19" s="20"/>
      <c r="F19" s="20"/>
      <c r="G19" s="21" t="str">
        <f t="shared" si="0"/>
        <v/>
      </c>
      <c r="H19" s="22" t="str">
        <f>IF(G19="","",SUMPRODUCT(--(G19&gt;=المساطر!$B$6:$B$15)))</f>
        <v/>
      </c>
      <c r="I19" s="20"/>
      <c r="J19" s="20"/>
      <c r="K19" s="21" t="str">
        <f t="shared" si="1"/>
        <v/>
      </c>
      <c r="L19" s="22" t="str">
        <f>IF(K19="","",SUMPRODUCT(--(K19&gt;=المساطر!$C$6:$C$15)))</f>
        <v/>
      </c>
      <c r="M19" s="20"/>
      <c r="N19" s="20"/>
      <c r="O19" s="21" t="str">
        <f t="shared" si="2"/>
        <v/>
      </c>
      <c r="P19" s="22" t="str">
        <f>IF(O19="","",SUMPRODUCT(--(O19&gt;=المساطر!$D$6:$D$15)))</f>
        <v/>
      </c>
      <c r="Q19" s="12"/>
      <c r="R19" s="12"/>
      <c r="S19" s="23" t="str">
        <f t="shared" si="3"/>
        <v/>
      </c>
      <c r="T19" s="22" t="str">
        <f>IF(S19="","",SUMPRODUCT(--(S19&lt;=المساطر!$E$6:$E$15)))</f>
        <v/>
      </c>
      <c r="U19" s="22" t="str">
        <f t="shared" si="4"/>
        <v/>
      </c>
      <c r="V19" s="21" t="str">
        <f t="shared" si="5"/>
        <v/>
      </c>
      <c r="W19" s="4" t="str">
        <f t="shared" si="6"/>
        <v/>
      </c>
      <c r="X19" s="21" t="str">
        <f t="shared" si="7"/>
        <v/>
      </c>
      <c r="Y19" s="22" t="str">
        <f t="shared" si="8"/>
        <v/>
      </c>
    </row>
    <row r="20" spans="1:25">
      <c r="A20" s="19">
        <v>15</v>
      </c>
      <c r="B20" s="5"/>
      <c r="C20" s="5"/>
      <c r="D20" s="5"/>
      <c r="E20" s="20"/>
      <c r="F20" s="20"/>
      <c r="G20" s="21" t="str">
        <f t="shared" si="0"/>
        <v/>
      </c>
      <c r="H20" s="22" t="str">
        <f>IF(G20="","",SUMPRODUCT(--(G20&gt;=المساطر!$B$6:$B$15)))</f>
        <v/>
      </c>
      <c r="I20" s="20"/>
      <c r="J20" s="20"/>
      <c r="K20" s="21" t="str">
        <f t="shared" si="1"/>
        <v/>
      </c>
      <c r="L20" s="22" t="str">
        <f>IF(K20="","",SUMPRODUCT(--(K20&gt;=المساطر!$C$6:$C$15)))</f>
        <v/>
      </c>
      <c r="M20" s="20"/>
      <c r="N20" s="20"/>
      <c r="O20" s="21" t="str">
        <f t="shared" si="2"/>
        <v/>
      </c>
      <c r="P20" s="22" t="str">
        <f>IF(O20="","",SUMPRODUCT(--(O20&gt;=المساطر!$D$6:$D$15)))</f>
        <v/>
      </c>
      <c r="Q20" s="12"/>
      <c r="R20" s="12"/>
      <c r="S20" s="23" t="str">
        <f t="shared" si="3"/>
        <v/>
      </c>
      <c r="T20" s="22" t="str">
        <f>IF(S20="","",SUMPRODUCT(--(S20&lt;=المساطر!$E$6:$E$15)))</f>
        <v/>
      </c>
      <c r="U20" s="22" t="str">
        <f t="shared" si="4"/>
        <v/>
      </c>
      <c r="V20" s="21" t="str">
        <f t="shared" si="5"/>
        <v/>
      </c>
      <c r="W20" s="4" t="str">
        <f t="shared" si="6"/>
        <v/>
      </c>
      <c r="X20" s="21" t="str">
        <f t="shared" si="7"/>
        <v/>
      </c>
      <c r="Y20" s="22" t="str">
        <f t="shared" si="8"/>
        <v/>
      </c>
    </row>
    <row r="21" spans="1:25">
      <c r="A21" s="19">
        <v>16</v>
      </c>
      <c r="B21" s="5"/>
      <c r="C21" s="5"/>
      <c r="D21" s="5"/>
      <c r="E21" s="20"/>
      <c r="F21" s="20"/>
      <c r="G21" s="21" t="str">
        <f t="shared" si="0"/>
        <v/>
      </c>
      <c r="H21" s="22" t="str">
        <f>IF(G21="","",SUMPRODUCT(--(G21&gt;=المساطر!$B$6:$B$15)))</f>
        <v/>
      </c>
      <c r="I21" s="20"/>
      <c r="J21" s="20"/>
      <c r="K21" s="21" t="str">
        <f t="shared" si="1"/>
        <v/>
      </c>
      <c r="L21" s="22" t="str">
        <f>IF(K21="","",SUMPRODUCT(--(K21&gt;=المساطر!$C$6:$C$15)))</f>
        <v/>
      </c>
      <c r="M21" s="20"/>
      <c r="N21" s="20"/>
      <c r="O21" s="21" t="str">
        <f t="shared" si="2"/>
        <v/>
      </c>
      <c r="P21" s="22" t="str">
        <f>IF(O21="","",SUMPRODUCT(--(O21&gt;=المساطر!$D$6:$D$15)))</f>
        <v/>
      </c>
      <c r="Q21" s="12"/>
      <c r="R21" s="12"/>
      <c r="S21" s="23" t="str">
        <f t="shared" si="3"/>
        <v/>
      </c>
      <c r="T21" s="22" t="str">
        <f>IF(S21="","",SUMPRODUCT(--(S21&lt;=المساطر!$E$6:$E$15)))</f>
        <v/>
      </c>
      <c r="U21" s="22" t="str">
        <f t="shared" si="4"/>
        <v/>
      </c>
      <c r="V21" s="21" t="str">
        <f t="shared" si="5"/>
        <v/>
      </c>
      <c r="W21" s="4" t="str">
        <f t="shared" si="6"/>
        <v/>
      </c>
      <c r="X21" s="21" t="str">
        <f t="shared" si="7"/>
        <v/>
      </c>
      <c r="Y21" s="22" t="str">
        <f t="shared" si="8"/>
        <v/>
      </c>
    </row>
    <row r="22" spans="1:25">
      <c r="A22" s="19">
        <v>17</v>
      </c>
      <c r="B22" s="5"/>
      <c r="C22" s="5"/>
      <c r="D22" s="5"/>
      <c r="E22" s="20"/>
      <c r="F22" s="20"/>
      <c r="G22" s="21" t="str">
        <f t="shared" si="0"/>
        <v/>
      </c>
      <c r="H22" s="22" t="str">
        <f>IF(G22="","",SUMPRODUCT(--(G22&gt;=المساطر!$B$6:$B$15)))</f>
        <v/>
      </c>
      <c r="I22" s="20"/>
      <c r="J22" s="20"/>
      <c r="K22" s="21" t="str">
        <f t="shared" si="1"/>
        <v/>
      </c>
      <c r="L22" s="22" t="str">
        <f>IF(K22="","",SUMPRODUCT(--(K22&gt;=المساطر!$C$6:$C$15)))</f>
        <v/>
      </c>
      <c r="M22" s="20"/>
      <c r="N22" s="20"/>
      <c r="O22" s="21" t="str">
        <f t="shared" si="2"/>
        <v/>
      </c>
      <c r="P22" s="22" t="str">
        <f>IF(O22="","",SUMPRODUCT(--(O22&gt;=المساطر!$D$6:$D$15)))</f>
        <v/>
      </c>
      <c r="Q22" s="12"/>
      <c r="R22" s="12"/>
      <c r="S22" s="23" t="str">
        <f t="shared" si="3"/>
        <v/>
      </c>
      <c r="T22" s="22" t="str">
        <f>IF(S22="","",SUMPRODUCT(--(S22&lt;=المساطر!$E$6:$E$15)))</f>
        <v/>
      </c>
      <c r="U22" s="22" t="str">
        <f t="shared" si="4"/>
        <v/>
      </c>
      <c r="V22" s="21" t="str">
        <f t="shared" si="5"/>
        <v/>
      </c>
      <c r="W22" s="4" t="str">
        <f t="shared" si="6"/>
        <v/>
      </c>
      <c r="X22" s="21" t="str">
        <f t="shared" si="7"/>
        <v/>
      </c>
      <c r="Y22" s="22" t="str">
        <f t="shared" si="8"/>
        <v/>
      </c>
    </row>
    <row r="23" spans="1:25">
      <c r="A23" s="19">
        <v>18</v>
      </c>
      <c r="B23" s="5"/>
      <c r="C23" s="5"/>
      <c r="D23" s="5"/>
      <c r="E23" s="20"/>
      <c r="F23" s="20"/>
      <c r="G23" s="21" t="str">
        <f t="shared" si="0"/>
        <v/>
      </c>
      <c r="H23" s="22" t="str">
        <f>IF(G23="","",SUMPRODUCT(--(G23&gt;=المساطر!$B$6:$B$15)))</f>
        <v/>
      </c>
      <c r="I23" s="20"/>
      <c r="J23" s="20"/>
      <c r="K23" s="21" t="str">
        <f t="shared" si="1"/>
        <v/>
      </c>
      <c r="L23" s="22" t="str">
        <f>IF(K23="","",SUMPRODUCT(--(K23&gt;=المساطر!$C$6:$C$15)))</f>
        <v/>
      </c>
      <c r="M23" s="20"/>
      <c r="N23" s="20"/>
      <c r="O23" s="21" t="str">
        <f t="shared" si="2"/>
        <v/>
      </c>
      <c r="P23" s="22" t="str">
        <f>IF(O23="","",SUMPRODUCT(--(O23&gt;=المساطر!$D$6:$D$15)))</f>
        <v/>
      </c>
      <c r="Q23" s="12"/>
      <c r="R23" s="12"/>
      <c r="S23" s="23" t="str">
        <f t="shared" si="3"/>
        <v/>
      </c>
      <c r="T23" s="22" t="str">
        <f>IF(S23="","",SUMPRODUCT(--(S23&lt;=المساطر!$E$6:$E$15)))</f>
        <v/>
      </c>
      <c r="U23" s="22" t="str">
        <f t="shared" si="4"/>
        <v/>
      </c>
      <c r="V23" s="21" t="str">
        <f t="shared" si="5"/>
        <v/>
      </c>
      <c r="W23" s="4" t="str">
        <f t="shared" si="6"/>
        <v/>
      </c>
      <c r="X23" s="21" t="str">
        <f t="shared" si="7"/>
        <v/>
      </c>
      <c r="Y23" s="22" t="str">
        <f t="shared" si="8"/>
        <v/>
      </c>
    </row>
    <row r="24" spans="1:25">
      <c r="A24" s="19">
        <v>19</v>
      </c>
      <c r="B24" s="5"/>
      <c r="C24" s="5"/>
      <c r="D24" s="5"/>
      <c r="E24" s="20"/>
      <c r="F24" s="20"/>
      <c r="G24" s="21" t="str">
        <f t="shared" si="0"/>
        <v/>
      </c>
      <c r="H24" s="22" t="str">
        <f>IF(G24="","",SUMPRODUCT(--(G24&gt;=المساطر!$B$6:$B$15)))</f>
        <v/>
      </c>
      <c r="I24" s="20"/>
      <c r="J24" s="20"/>
      <c r="K24" s="21" t="str">
        <f t="shared" si="1"/>
        <v/>
      </c>
      <c r="L24" s="22" t="str">
        <f>IF(K24="","",SUMPRODUCT(--(K24&gt;=المساطر!$C$6:$C$15)))</f>
        <v/>
      </c>
      <c r="M24" s="20"/>
      <c r="N24" s="20"/>
      <c r="O24" s="21" t="str">
        <f t="shared" si="2"/>
        <v/>
      </c>
      <c r="P24" s="22" t="str">
        <f>IF(O24="","",SUMPRODUCT(--(O24&gt;=المساطر!$D$6:$D$15)))</f>
        <v/>
      </c>
      <c r="Q24" s="12"/>
      <c r="R24" s="12"/>
      <c r="S24" s="23" t="str">
        <f t="shared" si="3"/>
        <v/>
      </c>
      <c r="T24" s="22" t="str">
        <f>IF(S24="","",SUMPRODUCT(--(S24&lt;=المساطر!$E$6:$E$15)))</f>
        <v/>
      </c>
      <c r="U24" s="22" t="str">
        <f t="shared" si="4"/>
        <v/>
      </c>
      <c r="V24" s="21" t="str">
        <f t="shared" si="5"/>
        <v/>
      </c>
      <c r="W24" s="4" t="str">
        <f t="shared" si="6"/>
        <v/>
      </c>
      <c r="X24" s="21" t="str">
        <f t="shared" si="7"/>
        <v/>
      </c>
      <c r="Y24" s="22" t="str">
        <f t="shared" si="8"/>
        <v/>
      </c>
    </row>
    <row r="25" spans="1:25">
      <c r="A25" s="19">
        <v>20</v>
      </c>
      <c r="B25" s="5"/>
      <c r="C25" s="5"/>
      <c r="D25" s="5"/>
      <c r="E25" s="20"/>
      <c r="F25" s="20"/>
      <c r="G25" s="21" t="str">
        <f t="shared" si="0"/>
        <v/>
      </c>
      <c r="H25" s="22" t="str">
        <f>IF(G25="","",SUMPRODUCT(--(G25&gt;=المساطر!$B$6:$B$15)))</f>
        <v/>
      </c>
      <c r="I25" s="20"/>
      <c r="J25" s="20"/>
      <c r="K25" s="21" t="str">
        <f t="shared" si="1"/>
        <v/>
      </c>
      <c r="L25" s="22" t="str">
        <f>IF(K25="","",SUMPRODUCT(--(K25&gt;=المساطر!$C$6:$C$15)))</f>
        <v/>
      </c>
      <c r="M25" s="20"/>
      <c r="N25" s="20"/>
      <c r="O25" s="21" t="str">
        <f t="shared" si="2"/>
        <v/>
      </c>
      <c r="P25" s="22" t="str">
        <f>IF(O25="","",SUMPRODUCT(--(O25&gt;=المساطر!$D$6:$D$15)))</f>
        <v/>
      </c>
      <c r="Q25" s="12"/>
      <c r="R25" s="12"/>
      <c r="S25" s="23" t="str">
        <f t="shared" si="3"/>
        <v/>
      </c>
      <c r="T25" s="22" t="str">
        <f>IF(S25="","",SUMPRODUCT(--(S25&lt;=المساطر!$E$6:$E$15)))</f>
        <v/>
      </c>
      <c r="U25" s="22" t="str">
        <f t="shared" si="4"/>
        <v/>
      </c>
      <c r="V25" s="21" t="str">
        <f t="shared" si="5"/>
        <v/>
      </c>
      <c r="W25" s="4" t="str">
        <f t="shared" si="6"/>
        <v/>
      </c>
      <c r="X25" s="21" t="str">
        <f t="shared" si="7"/>
        <v/>
      </c>
      <c r="Y25" s="22" t="str">
        <f t="shared" si="8"/>
        <v/>
      </c>
    </row>
    <row r="26" spans="1:25">
      <c r="A26" s="19">
        <v>21</v>
      </c>
      <c r="B26" s="5"/>
      <c r="C26" s="5"/>
      <c r="D26" s="5"/>
      <c r="E26" s="20"/>
      <c r="F26" s="20"/>
      <c r="G26" s="21" t="str">
        <f t="shared" si="0"/>
        <v/>
      </c>
      <c r="H26" s="22" t="str">
        <f>IF(G26="","",SUMPRODUCT(--(G26&gt;=المساطر!$B$6:$B$15)))</f>
        <v/>
      </c>
      <c r="I26" s="20"/>
      <c r="J26" s="20"/>
      <c r="K26" s="21" t="str">
        <f t="shared" si="1"/>
        <v/>
      </c>
      <c r="L26" s="22" t="str">
        <f>IF(K26="","",SUMPRODUCT(--(K26&gt;=المساطر!$C$6:$C$15)))</f>
        <v/>
      </c>
      <c r="M26" s="20"/>
      <c r="N26" s="20"/>
      <c r="O26" s="21" t="str">
        <f t="shared" si="2"/>
        <v/>
      </c>
      <c r="P26" s="22" t="str">
        <f>IF(O26="","",SUMPRODUCT(--(O26&gt;=المساطر!$D$6:$D$15)))</f>
        <v/>
      </c>
      <c r="Q26" s="12"/>
      <c r="R26" s="12"/>
      <c r="S26" s="23" t="str">
        <f t="shared" si="3"/>
        <v/>
      </c>
      <c r="T26" s="22" t="str">
        <f>IF(S26="","",SUMPRODUCT(--(S26&lt;=المساطر!$E$6:$E$15)))</f>
        <v/>
      </c>
      <c r="U26" s="22" t="str">
        <f t="shared" si="4"/>
        <v/>
      </c>
      <c r="V26" s="21" t="str">
        <f t="shared" si="5"/>
        <v/>
      </c>
      <c r="W26" s="4" t="str">
        <f t="shared" si="6"/>
        <v/>
      </c>
      <c r="X26" s="21" t="str">
        <f t="shared" si="7"/>
        <v/>
      </c>
      <c r="Y26" s="22" t="str">
        <f t="shared" si="8"/>
        <v/>
      </c>
    </row>
    <row r="27" spans="1:25">
      <c r="A27" s="19">
        <v>22</v>
      </c>
      <c r="B27" s="5"/>
      <c r="C27" s="5"/>
      <c r="D27" s="5"/>
      <c r="E27" s="20"/>
      <c r="F27" s="20"/>
      <c r="G27" s="21" t="str">
        <f t="shared" si="0"/>
        <v/>
      </c>
      <c r="H27" s="22" t="str">
        <f>IF(G27="","",SUMPRODUCT(--(G27&gt;=المساطر!$B$6:$B$15)))</f>
        <v/>
      </c>
      <c r="I27" s="20"/>
      <c r="J27" s="20"/>
      <c r="K27" s="21" t="str">
        <f t="shared" si="1"/>
        <v/>
      </c>
      <c r="L27" s="22" t="str">
        <f>IF(K27="","",SUMPRODUCT(--(K27&gt;=المساطر!$C$6:$C$15)))</f>
        <v/>
      </c>
      <c r="M27" s="20"/>
      <c r="N27" s="20"/>
      <c r="O27" s="21" t="str">
        <f t="shared" si="2"/>
        <v/>
      </c>
      <c r="P27" s="22" t="str">
        <f>IF(O27="","",SUMPRODUCT(--(O27&gt;=المساطر!$D$6:$D$15)))</f>
        <v/>
      </c>
      <c r="Q27" s="12"/>
      <c r="R27" s="12"/>
      <c r="S27" s="23" t="str">
        <f t="shared" si="3"/>
        <v/>
      </c>
      <c r="T27" s="22" t="str">
        <f>IF(S27="","",SUMPRODUCT(--(S27&lt;=المساطر!$E$6:$E$15)))</f>
        <v/>
      </c>
      <c r="U27" s="22" t="str">
        <f t="shared" si="4"/>
        <v/>
      </c>
      <c r="V27" s="21" t="str">
        <f t="shared" si="5"/>
        <v/>
      </c>
      <c r="W27" s="4" t="str">
        <f t="shared" si="6"/>
        <v/>
      </c>
      <c r="X27" s="21" t="str">
        <f t="shared" si="7"/>
        <v/>
      </c>
      <c r="Y27" s="22" t="str">
        <f t="shared" si="8"/>
        <v/>
      </c>
    </row>
    <row r="28" spans="1:25">
      <c r="A28" s="19">
        <v>23</v>
      </c>
      <c r="B28" s="5"/>
      <c r="C28" s="5"/>
      <c r="D28" s="5"/>
      <c r="E28" s="20"/>
      <c r="F28" s="20"/>
      <c r="G28" s="21" t="str">
        <f t="shared" si="0"/>
        <v/>
      </c>
      <c r="H28" s="22" t="str">
        <f>IF(G28="","",SUMPRODUCT(--(G28&gt;=المساطر!$B$6:$B$15)))</f>
        <v/>
      </c>
      <c r="I28" s="20"/>
      <c r="J28" s="20"/>
      <c r="K28" s="21" t="str">
        <f t="shared" si="1"/>
        <v/>
      </c>
      <c r="L28" s="22" t="str">
        <f>IF(K28="","",SUMPRODUCT(--(K28&gt;=المساطر!$C$6:$C$15)))</f>
        <v/>
      </c>
      <c r="M28" s="20"/>
      <c r="N28" s="20"/>
      <c r="O28" s="21" t="str">
        <f t="shared" si="2"/>
        <v/>
      </c>
      <c r="P28" s="22" t="str">
        <f>IF(O28="","",SUMPRODUCT(--(O28&gt;=المساطر!$D$6:$D$15)))</f>
        <v/>
      </c>
      <c r="Q28" s="12"/>
      <c r="R28" s="12"/>
      <c r="S28" s="23" t="str">
        <f t="shared" si="3"/>
        <v/>
      </c>
      <c r="T28" s="22" t="str">
        <f>IF(S28="","",SUMPRODUCT(--(S28&lt;=المساطر!$E$6:$E$15)))</f>
        <v/>
      </c>
      <c r="U28" s="22" t="str">
        <f t="shared" si="4"/>
        <v/>
      </c>
      <c r="V28" s="21" t="str">
        <f t="shared" si="5"/>
        <v/>
      </c>
      <c r="W28" s="4" t="str">
        <f t="shared" si="6"/>
        <v/>
      </c>
      <c r="X28" s="21" t="str">
        <f t="shared" si="7"/>
        <v/>
      </c>
      <c r="Y28" s="22" t="str">
        <f t="shared" si="8"/>
        <v/>
      </c>
    </row>
    <row r="29" spans="1:25">
      <c r="A29" s="19">
        <v>24</v>
      </c>
      <c r="B29" s="5"/>
      <c r="C29" s="5"/>
      <c r="D29" s="5"/>
      <c r="E29" s="20"/>
      <c r="F29" s="20"/>
      <c r="G29" s="21" t="str">
        <f t="shared" si="0"/>
        <v/>
      </c>
      <c r="H29" s="22" t="str">
        <f>IF(G29="","",SUMPRODUCT(--(G29&gt;=المساطر!$B$6:$B$15)))</f>
        <v/>
      </c>
      <c r="I29" s="20"/>
      <c r="J29" s="20"/>
      <c r="K29" s="21" t="str">
        <f t="shared" si="1"/>
        <v/>
      </c>
      <c r="L29" s="22" t="str">
        <f>IF(K29="","",SUMPRODUCT(--(K29&gt;=المساطر!$C$6:$C$15)))</f>
        <v/>
      </c>
      <c r="M29" s="20"/>
      <c r="N29" s="20"/>
      <c r="O29" s="21" t="str">
        <f t="shared" si="2"/>
        <v/>
      </c>
      <c r="P29" s="22" t="str">
        <f>IF(O29="","",SUMPRODUCT(--(O29&gt;=المساطر!$D$6:$D$15)))</f>
        <v/>
      </c>
      <c r="Q29" s="12"/>
      <c r="R29" s="12"/>
      <c r="S29" s="23" t="str">
        <f t="shared" si="3"/>
        <v/>
      </c>
      <c r="T29" s="22" t="str">
        <f>IF(S29="","",SUMPRODUCT(--(S29&lt;=المساطر!$E$6:$E$15)))</f>
        <v/>
      </c>
      <c r="U29" s="22" t="str">
        <f t="shared" si="4"/>
        <v/>
      </c>
      <c r="V29" s="21" t="str">
        <f t="shared" si="5"/>
        <v/>
      </c>
      <c r="W29" s="4" t="str">
        <f t="shared" si="6"/>
        <v/>
      </c>
      <c r="X29" s="21" t="str">
        <f t="shared" si="7"/>
        <v/>
      </c>
      <c r="Y29" s="22" t="str">
        <f t="shared" si="8"/>
        <v/>
      </c>
    </row>
    <row r="30" spans="1:25">
      <c r="A30" s="19">
        <v>25</v>
      </c>
      <c r="B30" s="5"/>
      <c r="C30" s="5"/>
      <c r="D30" s="5"/>
      <c r="E30" s="20"/>
      <c r="F30" s="20"/>
      <c r="G30" s="21" t="str">
        <f t="shared" si="0"/>
        <v/>
      </c>
      <c r="H30" s="22" t="str">
        <f>IF(G30="","",SUMPRODUCT(--(G30&gt;=المساطر!$B$6:$B$15)))</f>
        <v/>
      </c>
      <c r="I30" s="20"/>
      <c r="J30" s="20"/>
      <c r="K30" s="21" t="str">
        <f t="shared" si="1"/>
        <v/>
      </c>
      <c r="L30" s="22" t="str">
        <f>IF(K30="","",SUMPRODUCT(--(K30&gt;=المساطر!$C$6:$C$15)))</f>
        <v/>
      </c>
      <c r="M30" s="20"/>
      <c r="N30" s="20"/>
      <c r="O30" s="21" t="str">
        <f t="shared" si="2"/>
        <v/>
      </c>
      <c r="P30" s="22" t="str">
        <f>IF(O30="","",SUMPRODUCT(--(O30&gt;=المساطر!$D$6:$D$15)))</f>
        <v/>
      </c>
      <c r="Q30" s="12"/>
      <c r="R30" s="12"/>
      <c r="S30" s="23" t="str">
        <f t="shared" si="3"/>
        <v/>
      </c>
      <c r="T30" s="22" t="str">
        <f>IF(S30="","",SUMPRODUCT(--(S30&lt;=المساطر!$E$6:$E$15)))</f>
        <v/>
      </c>
      <c r="U30" s="22" t="str">
        <f t="shared" si="4"/>
        <v/>
      </c>
      <c r="V30" s="21" t="str">
        <f t="shared" si="5"/>
        <v/>
      </c>
      <c r="W30" s="4" t="str">
        <f t="shared" si="6"/>
        <v/>
      </c>
      <c r="X30" s="21" t="str">
        <f t="shared" si="7"/>
        <v/>
      </c>
      <c r="Y30" s="22" t="str">
        <f t="shared" si="8"/>
        <v/>
      </c>
    </row>
    <row r="31" spans="1:25">
      <c r="A31" s="19">
        <v>26</v>
      </c>
      <c r="B31" s="5"/>
      <c r="C31" s="5"/>
      <c r="D31" s="5"/>
      <c r="E31" s="20"/>
      <c r="F31" s="20"/>
      <c r="G31" s="21" t="str">
        <f t="shared" si="0"/>
        <v/>
      </c>
      <c r="H31" s="22" t="str">
        <f>IF(G31="","",SUMPRODUCT(--(G31&gt;=المساطر!$B$6:$B$15)))</f>
        <v/>
      </c>
      <c r="I31" s="20"/>
      <c r="J31" s="20"/>
      <c r="K31" s="21" t="str">
        <f t="shared" si="1"/>
        <v/>
      </c>
      <c r="L31" s="22" t="str">
        <f>IF(K31="","",SUMPRODUCT(--(K31&gt;=المساطر!$C$6:$C$15)))</f>
        <v/>
      </c>
      <c r="M31" s="20"/>
      <c r="N31" s="20"/>
      <c r="O31" s="21" t="str">
        <f t="shared" si="2"/>
        <v/>
      </c>
      <c r="P31" s="22" t="str">
        <f>IF(O31="","",SUMPRODUCT(--(O31&gt;=المساطر!$D$6:$D$15)))</f>
        <v/>
      </c>
      <c r="Q31" s="12"/>
      <c r="R31" s="12"/>
      <c r="S31" s="23" t="str">
        <f t="shared" si="3"/>
        <v/>
      </c>
      <c r="T31" s="22" t="str">
        <f>IF(S31="","",SUMPRODUCT(--(S31&lt;=المساطر!$E$6:$E$15)))</f>
        <v/>
      </c>
      <c r="U31" s="22" t="str">
        <f t="shared" si="4"/>
        <v/>
      </c>
      <c r="V31" s="21" t="str">
        <f t="shared" si="5"/>
        <v/>
      </c>
      <c r="W31" s="4" t="str">
        <f t="shared" si="6"/>
        <v/>
      </c>
      <c r="X31" s="21" t="str">
        <f t="shared" si="7"/>
        <v/>
      </c>
      <c r="Y31" s="22" t="str">
        <f t="shared" si="8"/>
        <v/>
      </c>
    </row>
    <row r="32" spans="1:25">
      <c r="A32" s="19">
        <v>27</v>
      </c>
      <c r="B32" s="5"/>
      <c r="C32" s="5"/>
      <c r="D32" s="5"/>
      <c r="E32" s="20"/>
      <c r="F32" s="20"/>
      <c r="G32" s="21" t="str">
        <f t="shared" si="0"/>
        <v/>
      </c>
      <c r="H32" s="22" t="str">
        <f>IF(G32="","",SUMPRODUCT(--(G32&gt;=المساطر!$B$6:$B$15)))</f>
        <v/>
      </c>
      <c r="I32" s="20"/>
      <c r="J32" s="20"/>
      <c r="K32" s="21" t="str">
        <f t="shared" si="1"/>
        <v/>
      </c>
      <c r="L32" s="22" t="str">
        <f>IF(K32="","",SUMPRODUCT(--(K32&gt;=المساطر!$C$6:$C$15)))</f>
        <v/>
      </c>
      <c r="M32" s="20"/>
      <c r="N32" s="20"/>
      <c r="O32" s="21" t="str">
        <f t="shared" si="2"/>
        <v/>
      </c>
      <c r="P32" s="22" t="str">
        <f>IF(O32="","",SUMPRODUCT(--(O32&gt;=المساطر!$D$6:$D$15)))</f>
        <v/>
      </c>
      <c r="Q32" s="12"/>
      <c r="R32" s="12"/>
      <c r="S32" s="23" t="str">
        <f t="shared" si="3"/>
        <v/>
      </c>
      <c r="T32" s="22" t="str">
        <f>IF(S32="","",SUMPRODUCT(--(S32&lt;=المساطر!$E$6:$E$15)))</f>
        <v/>
      </c>
      <c r="U32" s="22" t="str">
        <f t="shared" si="4"/>
        <v/>
      </c>
      <c r="V32" s="21" t="str">
        <f t="shared" si="5"/>
        <v/>
      </c>
      <c r="W32" s="4" t="str">
        <f t="shared" si="6"/>
        <v/>
      </c>
      <c r="X32" s="21" t="str">
        <f t="shared" si="7"/>
        <v/>
      </c>
      <c r="Y32" s="22" t="str">
        <f t="shared" si="8"/>
        <v/>
      </c>
    </row>
    <row r="33" spans="1:26">
      <c r="A33" s="19">
        <v>28</v>
      </c>
      <c r="B33" s="5"/>
      <c r="C33" s="5"/>
      <c r="D33" s="5"/>
      <c r="E33" s="20"/>
      <c r="F33" s="20"/>
      <c r="G33" s="21" t="str">
        <f t="shared" si="0"/>
        <v/>
      </c>
      <c r="H33" s="22" t="str">
        <f>IF(G33="","",SUMPRODUCT(--(G33&gt;=المساطر!$B$6:$B$15)))</f>
        <v/>
      </c>
      <c r="I33" s="20"/>
      <c r="J33" s="20"/>
      <c r="K33" s="21" t="str">
        <f t="shared" si="1"/>
        <v/>
      </c>
      <c r="L33" s="22" t="str">
        <f>IF(K33="","",SUMPRODUCT(--(K33&gt;=المساطر!$C$6:$C$15)))</f>
        <v/>
      </c>
      <c r="M33" s="20"/>
      <c r="N33" s="20"/>
      <c r="O33" s="21" t="str">
        <f t="shared" si="2"/>
        <v/>
      </c>
      <c r="P33" s="22" t="str">
        <f>IF(O33="","",SUMPRODUCT(--(O33&gt;=المساطر!$D$6:$D$15)))</f>
        <v/>
      </c>
      <c r="Q33" s="12"/>
      <c r="R33" s="12"/>
      <c r="S33" s="23" t="str">
        <f t="shared" si="3"/>
        <v/>
      </c>
      <c r="T33" s="22" t="str">
        <f>IF(S33="","",SUMPRODUCT(--(S33&lt;=المساطر!$E$6:$E$15)))</f>
        <v/>
      </c>
      <c r="U33" s="22" t="str">
        <f t="shared" si="4"/>
        <v/>
      </c>
      <c r="V33" s="21" t="str">
        <f t="shared" si="5"/>
        <v/>
      </c>
      <c r="W33" s="4" t="str">
        <f t="shared" si="6"/>
        <v/>
      </c>
      <c r="X33" s="21" t="str">
        <f t="shared" si="7"/>
        <v/>
      </c>
      <c r="Y33" s="22" t="str">
        <f t="shared" si="8"/>
        <v/>
      </c>
    </row>
    <row r="34" spans="1:26">
      <c r="A34" s="19">
        <v>29</v>
      </c>
      <c r="B34" s="5"/>
      <c r="C34" s="5"/>
      <c r="D34" s="5"/>
      <c r="E34" s="20"/>
      <c r="F34" s="20"/>
      <c r="G34" s="21" t="str">
        <f t="shared" si="0"/>
        <v/>
      </c>
      <c r="H34" s="22" t="str">
        <f>IF(G34="","",SUMPRODUCT(--(G34&gt;=المساطر!$B$6:$B$15)))</f>
        <v/>
      </c>
      <c r="I34" s="20"/>
      <c r="J34" s="20"/>
      <c r="K34" s="21" t="str">
        <f t="shared" si="1"/>
        <v/>
      </c>
      <c r="L34" s="22" t="str">
        <f>IF(K34="","",SUMPRODUCT(--(K34&gt;=المساطر!$C$6:$C$15)))</f>
        <v/>
      </c>
      <c r="M34" s="20"/>
      <c r="N34" s="20"/>
      <c r="O34" s="21" t="str">
        <f t="shared" si="2"/>
        <v/>
      </c>
      <c r="P34" s="22" t="str">
        <f>IF(O34="","",SUMPRODUCT(--(O34&gt;=المساطر!$D$6:$D$15)))</f>
        <v/>
      </c>
      <c r="Q34" s="12"/>
      <c r="R34" s="12"/>
      <c r="S34" s="23" t="str">
        <f t="shared" si="3"/>
        <v/>
      </c>
      <c r="T34" s="22" t="str">
        <f>IF(S34="","",SUMPRODUCT(--(S34&lt;=المساطر!$E$6:$E$15)))</f>
        <v/>
      </c>
      <c r="U34" s="22" t="str">
        <f t="shared" si="4"/>
        <v/>
      </c>
      <c r="V34" s="21" t="str">
        <f t="shared" si="5"/>
        <v/>
      </c>
      <c r="W34" s="4" t="str">
        <f t="shared" si="6"/>
        <v/>
      </c>
      <c r="X34" s="21" t="str">
        <f t="shared" si="7"/>
        <v/>
      </c>
      <c r="Y34" s="22" t="str">
        <f t="shared" si="8"/>
        <v/>
      </c>
    </row>
    <row r="35" spans="1:26">
      <c r="A35" s="19">
        <v>30</v>
      </c>
      <c r="B35" s="5"/>
      <c r="C35" s="5"/>
      <c r="D35" s="5"/>
      <c r="E35" s="20"/>
      <c r="F35" s="20"/>
      <c r="G35" s="21" t="str">
        <f t="shared" si="0"/>
        <v/>
      </c>
      <c r="H35" s="22" t="str">
        <f>IF(G35="","",SUMPRODUCT(--(G35&gt;=المساطر!$B$6:$B$15)))</f>
        <v/>
      </c>
      <c r="I35" s="20"/>
      <c r="J35" s="20"/>
      <c r="K35" s="21" t="str">
        <f t="shared" si="1"/>
        <v/>
      </c>
      <c r="L35" s="22" t="str">
        <f>IF(K35="","",SUMPRODUCT(--(K35&gt;=المساطر!$C$6:$C$15)))</f>
        <v/>
      </c>
      <c r="M35" s="20"/>
      <c r="N35" s="20"/>
      <c r="O35" s="21" t="str">
        <f t="shared" si="2"/>
        <v/>
      </c>
      <c r="P35" s="22" t="str">
        <f>IF(O35="","",SUMPRODUCT(--(O35&gt;=المساطر!$D$6:$D$15)))</f>
        <v/>
      </c>
      <c r="Q35" s="12"/>
      <c r="R35" s="12"/>
      <c r="S35" s="23" t="str">
        <f t="shared" si="3"/>
        <v/>
      </c>
      <c r="T35" s="22" t="str">
        <f>IF(S35="","",SUMPRODUCT(--(S35&lt;=المساطر!$E$6:$E$15)))</f>
        <v/>
      </c>
      <c r="U35" s="22" t="str">
        <f t="shared" si="4"/>
        <v/>
      </c>
      <c r="V35" s="21" t="str">
        <f t="shared" si="5"/>
        <v/>
      </c>
      <c r="W35" s="4" t="str">
        <f t="shared" si="6"/>
        <v/>
      </c>
      <c r="X35" s="21" t="str">
        <f t="shared" si="7"/>
        <v/>
      </c>
      <c r="Y35" s="22" t="str">
        <f t="shared" si="8"/>
        <v/>
      </c>
    </row>
    <row r="36" spans="1:26">
      <c r="A36" s="19">
        <v>31</v>
      </c>
      <c r="B36" s="5"/>
      <c r="C36" s="5"/>
      <c r="D36" s="5"/>
      <c r="E36" s="20"/>
      <c r="F36" s="20"/>
      <c r="G36" s="21" t="str">
        <f t="shared" si="0"/>
        <v/>
      </c>
      <c r="H36" s="22" t="str">
        <f>IF(G36="","",SUMPRODUCT(--(G36&gt;=المساطر!$B$6:$B$15)))</f>
        <v/>
      </c>
      <c r="I36" s="20"/>
      <c r="J36" s="20"/>
      <c r="K36" s="21" t="str">
        <f t="shared" si="1"/>
        <v/>
      </c>
      <c r="L36" s="22" t="str">
        <f>IF(K36="","",SUMPRODUCT(--(K36&gt;=المساطر!$C$6:$C$15)))</f>
        <v/>
      </c>
      <c r="M36" s="20"/>
      <c r="N36" s="20"/>
      <c r="O36" s="21" t="str">
        <f t="shared" si="2"/>
        <v/>
      </c>
      <c r="P36" s="22" t="str">
        <f>IF(O36="","",SUMPRODUCT(--(O36&gt;=المساطر!$D$6:$D$15)))</f>
        <v/>
      </c>
      <c r="Q36" s="12"/>
      <c r="R36" s="12"/>
      <c r="S36" s="23" t="str">
        <f t="shared" si="3"/>
        <v/>
      </c>
      <c r="T36" s="22" t="str">
        <f>IF(S36="","",SUMPRODUCT(--(S36&lt;=المساطر!$E$6:$E$15)))</f>
        <v/>
      </c>
      <c r="U36" s="22" t="str">
        <f t="shared" si="4"/>
        <v/>
      </c>
      <c r="V36" s="21" t="str">
        <f t="shared" si="5"/>
        <v/>
      </c>
      <c r="W36" s="4" t="str">
        <f t="shared" si="6"/>
        <v/>
      </c>
      <c r="X36" s="21" t="str">
        <f t="shared" si="7"/>
        <v/>
      </c>
      <c r="Y36" s="22" t="str">
        <f t="shared" si="8"/>
        <v/>
      </c>
    </row>
    <row r="37" spans="1:26">
      <c r="A37" s="19">
        <v>32</v>
      </c>
      <c r="B37" s="5"/>
      <c r="C37" s="5"/>
      <c r="D37" s="5"/>
      <c r="E37" s="20"/>
      <c r="F37" s="20"/>
      <c r="G37" s="21" t="str">
        <f t="shared" si="0"/>
        <v/>
      </c>
      <c r="H37" s="22" t="str">
        <f>IF(G37="","",SUMPRODUCT(--(G37&gt;=المساطر!$B$6:$B$15)))</f>
        <v/>
      </c>
      <c r="I37" s="20"/>
      <c r="J37" s="20"/>
      <c r="K37" s="21" t="str">
        <f t="shared" si="1"/>
        <v/>
      </c>
      <c r="L37" s="22" t="str">
        <f>IF(K37="","",SUMPRODUCT(--(K37&gt;=المساطر!$C$6:$C$15)))</f>
        <v/>
      </c>
      <c r="M37" s="20"/>
      <c r="N37" s="20"/>
      <c r="O37" s="21" t="str">
        <f t="shared" si="2"/>
        <v/>
      </c>
      <c r="P37" s="22" t="str">
        <f>IF(O37="","",SUMPRODUCT(--(O37&gt;=المساطر!$D$6:$D$15)))</f>
        <v/>
      </c>
      <c r="Q37" s="12"/>
      <c r="R37" s="12"/>
      <c r="S37" s="23" t="str">
        <f t="shared" si="3"/>
        <v/>
      </c>
      <c r="T37" s="22" t="str">
        <f>IF(S37="","",SUMPRODUCT(--(S37&lt;=المساطر!$E$6:$E$15)))</f>
        <v/>
      </c>
      <c r="U37" s="22" t="str">
        <f t="shared" si="4"/>
        <v/>
      </c>
      <c r="V37" s="21" t="str">
        <f t="shared" si="5"/>
        <v/>
      </c>
      <c r="W37" s="4" t="str">
        <f t="shared" si="6"/>
        <v/>
      </c>
      <c r="X37" s="21" t="str">
        <f t="shared" si="7"/>
        <v/>
      </c>
      <c r="Y37" s="22" t="str">
        <f t="shared" si="8"/>
        <v/>
      </c>
    </row>
    <row r="38" spans="1:26">
      <c r="A38" s="19">
        <v>33</v>
      </c>
      <c r="B38" s="5"/>
      <c r="C38" s="5"/>
      <c r="D38" s="5"/>
      <c r="E38" s="20"/>
      <c r="F38" s="20"/>
      <c r="G38" s="21" t="str">
        <f t="shared" si="0"/>
        <v/>
      </c>
      <c r="H38" s="22" t="str">
        <f>IF(G38="","",SUMPRODUCT(--(G38&gt;=المساطر!$B$6:$B$15)))</f>
        <v/>
      </c>
      <c r="I38" s="20"/>
      <c r="J38" s="20"/>
      <c r="K38" s="21" t="str">
        <f t="shared" si="1"/>
        <v/>
      </c>
      <c r="L38" s="22" t="str">
        <f>IF(K38="","",SUMPRODUCT(--(K38&gt;=المساطر!$C$6:$C$15)))</f>
        <v/>
      </c>
      <c r="M38" s="20"/>
      <c r="N38" s="20"/>
      <c r="O38" s="21" t="str">
        <f t="shared" si="2"/>
        <v/>
      </c>
      <c r="P38" s="22" t="str">
        <f>IF(O38="","",SUMPRODUCT(--(O38&gt;=المساطر!$D$6:$D$15)))</f>
        <v/>
      </c>
      <c r="Q38" s="12"/>
      <c r="R38" s="12"/>
      <c r="S38" s="23" t="str">
        <f t="shared" si="3"/>
        <v/>
      </c>
      <c r="T38" s="22" t="str">
        <f>IF(S38="","",SUMPRODUCT(--(S38&lt;=المساطر!$E$6:$E$15)))</f>
        <v/>
      </c>
      <c r="U38" s="22" t="str">
        <f t="shared" si="4"/>
        <v/>
      </c>
      <c r="V38" s="21" t="str">
        <f t="shared" si="5"/>
        <v/>
      </c>
      <c r="W38" s="4" t="str">
        <f t="shared" si="6"/>
        <v/>
      </c>
      <c r="X38" s="21" t="str">
        <f t="shared" si="7"/>
        <v/>
      </c>
      <c r="Y38" s="22" t="str">
        <f t="shared" si="8"/>
        <v/>
      </c>
    </row>
    <row r="39" spans="1:26">
      <c r="A39" s="19">
        <v>34</v>
      </c>
      <c r="B39" s="5"/>
      <c r="C39" s="5"/>
      <c r="D39" s="5"/>
      <c r="E39" s="20"/>
      <c r="F39" s="20"/>
      <c r="G39" s="21" t="str">
        <f t="shared" si="0"/>
        <v/>
      </c>
      <c r="H39" s="22" t="str">
        <f>IF(G39="","",SUMPRODUCT(--(G39&gt;=المساطر!$B$6:$B$15)))</f>
        <v/>
      </c>
      <c r="I39" s="20"/>
      <c r="J39" s="20"/>
      <c r="K39" s="21" t="str">
        <f t="shared" si="1"/>
        <v/>
      </c>
      <c r="L39" s="22" t="str">
        <f>IF(K39="","",SUMPRODUCT(--(K39&gt;=المساطر!$C$6:$C$15)))</f>
        <v/>
      </c>
      <c r="M39" s="20"/>
      <c r="N39" s="20"/>
      <c r="O39" s="21" t="str">
        <f t="shared" si="2"/>
        <v/>
      </c>
      <c r="P39" s="22" t="str">
        <f>IF(O39="","",SUMPRODUCT(--(O39&gt;=المساطر!$D$6:$D$15)))</f>
        <v/>
      </c>
      <c r="Q39" s="12"/>
      <c r="R39" s="12"/>
      <c r="S39" s="23" t="str">
        <f t="shared" si="3"/>
        <v/>
      </c>
      <c r="T39" s="22" t="str">
        <f>IF(S39="","",SUMPRODUCT(--(S39&lt;=المساطر!$E$6:$E$15)))</f>
        <v/>
      </c>
      <c r="U39" s="22" t="str">
        <f t="shared" si="4"/>
        <v/>
      </c>
      <c r="V39" s="21" t="str">
        <f t="shared" si="5"/>
        <v/>
      </c>
      <c r="W39" s="4" t="str">
        <f t="shared" si="6"/>
        <v/>
      </c>
      <c r="X39" s="21" t="str">
        <f t="shared" si="7"/>
        <v/>
      </c>
      <c r="Y39" s="22" t="str">
        <f t="shared" si="8"/>
        <v/>
      </c>
    </row>
    <row r="40" spans="1:26">
      <c r="A40" s="19">
        <v>35</v>
      </c>
      <c r="B40" s="5"/>
      <c r="C40" s="5"/>
      <c r="D40" s="5"/>
      <c r="E40" s="20"/>
      <c r="F40" s="20"/>
      <c r="G40" s="21" t="str">
        <f t="shared" si="0"/>
        <v/>
      </c>
      <c r="H40" s="22" t="str">
        <f>IF(G40="","",SUMPRODUCT(--(G40&gt;=المساطر!$B$6:$B$15)))</f>
        <v/>
      </c>
      <c r="I40" s="20"/>
      <c r="J40" s="20"/>
      <c r="K40" s="21" t="str">
        <f t="shared" si="1"/>
        <v/>
      </c>
      <c r="L40" s="22" t="str">
        <f>IF(K40="","",SUMPRODUCT(--(K40&gt;=المساطر!$C$6:$C$15)))</f>
        <v/>
      </c>
      <c r="M40" s="20"/>
      <c r="N40" s="20"/>
      <c r="O40" s="21" t="str">
        <f t="shared" si="2"/>
        <v/>
      </c>
      <c r="P40" s="22" t="str">
        <f>IF(O40="","",SUMPRODUCT(--(O40&gt;=المساطر!$D$6:$D$15)))</f>
        <v/>
      </c>
      <c r="Q40" s="12"/>
      <c r="R40" s="12"/>
      <c r="S40" s="23" t="str">
        <f t="shared" si="3"/>
        <v/>
      </c>
      <c r="T40" s="22" t="str">
        <f>IF(S40="","",SUMPRODUCT(--(S40&lt;=المساطر!$E$6:$E$15)))</f>
        <v/>
      </c>
      <c r="U40" s="22" t="str">
        <f t="shared" si="4"/>
        <v/>
      </c>
      <c r="V40" s="21" t="str">
        <f t="shared" si="5"/>
        <v/>
      </c>
      <c r="W40" s="4" t="str">
        <f t="shared" si="6"/>
        <v/>
      </c>
      <c r="X40" s="21" t="str">
        <f t="shared" si="7"/>
        <v/>
      </c>
      <c r="Y40" s="22" t="str">
        <f t="shared" si="8"/>
        <v/>
      </c>
    </row>
    <row r="41" spans="1:26">
      <c r="A41" s="19">
        <v>36</v>
      </c>
      <c r="B41" s="5"/>
      <c r="C41" s="5"/>
      <c r="D41" s="5"/>
      <c r="E41" s="20"/>
      <c r="F41" s="20"/>
      <c r="G41" s="21" t="str">
        <f t="shared" si="0"/>
        <v/>
      </c>
      <c r="H41" s="22" t="str">
        <f>IF(G41="","",SUMPRODUCT(--(G41&gt;=المساطر!$B$6:$B$15)))</f>
        <v/>
      </c>
      <c r="I41" s="20"/>
      <c r="J41" s="20"/>
      <c r="K41" s="21" t="str">
        <f t="shared" si="1"/>
        <v/>
      </c>
      <c r="L41" s="22" t="str">
        <f>IF(K41="","",SUMPRODUCT(--(K41&gt;=المساطر!$C$6:$C$15)))</f>
        <v/>
      </c>
      <c r="M41" s="20"/>
      <c r="N41" s="20"/>
      <c r="O41" s="21" t="str">
        <f t="shared" si="2"/>
        <v/>
      </c>
      <c r="P41" s="22" t="str">
        <f>IF(O41="","",SUMPRODUCT(--(O41&gt;=المساطر!$D$6:$D$15)))</f>
        <v/>
      </c>
      <c r="Q41" s="12"/>
      <c r="R41" s="12"/>
      <c r="S41" s="23" t="str">
        <f t="shared" si="3"/>
        <v/>
      </c>
      <c r="T41" s="22" t="str">
        <f>IF(S41="","",SUMPRODUCT(--(S41&lt;=المساطر!$E$6:$E$15)))</f>
        <v/>
      </c>
      <c r="U41" s="22" t="str">
        <f t="shared" si="4"/>
        <v/>
      </c>
      <c r="V41" s="21" t="str">
        <f t="shared" si="5"/>
        <v/>
      </c>
      <c r="W41" s="4" t="str">
        <f t="shared" si="6"/>
        <v/>
      </c>
      <c r="X41" s="21" t="str">
        <f t="shared" si="7"/>
        <v/>
      </c>
      <c r="Y41" s="22" t="str">
        <f t="shared" si="8"/>
        <v/>
      </c>
    </row>
    <row r="42" spans="1:26">
      <c r="A42" s="19">
        <v>37</v>
      </c>
      <c r="B42" s="5"/>
      <c r="C42" s="5"/>
      <c r="D42" s="5"/>
      <c r="E42" s="20"/>
      <c r="F42" s="20"/>
      <c r="G42" s="21" t="str">
        <f t="shared" si="0"/>
        <v/>
      </c>
      <c r="H42" s="22" t="str">
        <f>IF(G42="","",SUMPRODUCT(--(G42&gt;=المساطر!$B$6:$B$15)))</f>
        <v/>
      </c>
      <c r="I42" s="20"/>
      <c r="J42" s="20"/>
      <c r="K42" s="21" t="str">
        <f t="shared" si="1"/>
        <v/>
      </c>
      <c r="L42" s="22" t="str">
        <f>IF(K42="","",SUMPRODUCT(--(K42&gt;=المساطر!$C$6:$C$15)))</f>
        <v/>
      </c>
      <c r="M42" s="20"/>
      <c r="N42" s="20"/>
      <c r="O42" s="21" t="str">
        <f t="shared" si="2"/>
        <v/>
      </c>
      <c r="P42" s="22" t="str">
        <f>IF(O42="","",SUMPRODUCT(--(O42&gt;=المساطر!$D$6:$D$15)))</f>
        <v/>
      </c>
      <c r="Q42" s="12"/>
      <c r="R42" s="12"/>
      <c r="S42" s="23" t="str">
        <f t="shared" si="3"/>
        <v/>
      </c>
      <c r="T42" s="22" t="str">
        <f>IF(S42="","",SUMPRODUCT(--(S42&lt;=المساطر!$E$6:$E$15)))</f>
        <v/>
      </c>
      <c r="U42" s="22" t="str">
        <f t="shared" si="4"/>
        <v/>
      </c>
      <c r="V42" s="21" t="str">
        <f t="shared" si="5"/>
        <v/>
      </c>
      <c r="W42" s="4" t="str">
        <f t="shared" si="6"/>
        <v/>
      </c>
      <c r="X42" s="21" t="str">
        <f t="shared" si="7"/>
        <v/>
      </c>
      <c r="Y42" s="22" t="str">
        <f t="shared" si="8"/>
        <v/>
      </c>
    </row>
    <row r="43" spans="1:26">
      <c r="A43" s="19">
        <v>38</v>
      </c>
      <c r="B43" s="5"/>
      <c r="C43" s="5"/>
      <c r="D43" s="5"/>
      <c r="E43" s="20"/>
      <c r="F43" s="20"/>
      <c r="G43" s="21" t="str">
        <f t="shared" si="0"/>
        <v/>
      </c>
      <c r="H43" s="22" t="str">
        <f>IF(G43="","",SUMPRODUCT(--(G43&gt;=المساطر!$B$6:$B$15)))</f>
        <v/>
      </c>
      <c r="I43" s="20"/>
      <c r="J43" s="20"/>
      <c r="K43" s="21" t="str">
        <f t="shared" si="1"/>
        <v/>
      </c>
      <c r="L43" s="22" t="str">
        <f>IF(K43="","",SUMPRODUCT(--(K43&gt;=المساطر!$C$6:$C$15)))</f>
        <v/>
      </c>
      <c r="M43" s="20"/>
      <c r="N43" s="20"/>
      <c r="O43" s="21" t="str">
        <f t="shared" si="2"/>
        <v/>
      </c>
      <c r="P43" s="22" t="str">
        <f>IF(O43="","",SUMPRODUCT(--(O43&gt;=المساطر!$D$6:$D$15)))</f>
        <v/>
      </c>
      <c r="Q43" s="12"/>
      <c r="R43" s="12"/>
      <c r="S43" s="23" t="str">
        <f t="shared" si="3"/>
        <v/>
      </c>
      <c r="T43" s="22" t="str">
        <f>IF(S43="","",SUMPRODUCT(--(S43&lt;=المساطر!$E$6:$E$15)))</f>
        <v/>
      </c>
      <c r="U43" s="22" t="str">
        <f t="shared" si="4"/>
        <v/>
      </c>
      <c r="V43" s="21" t="str">
        <f t="shared" si="5"/>
        <v/>
      </c>
      <c r="W43" s="4" t="str">
        <f t="shared" si="6"/>
        <v/>
      </c>
      <c r="X43" s="21" t="str">
        <f t="shared" si="7"/>
        <v/>
      </c>
      <c r="Y43" s="22" t="str">
        <f t="shared" si="8"/>
        <v/>
      </c>
    </row>
    <row r="44" spans="1:26">
      <c r="A44" s="19">
        <v>39</v>
      </c>
      <c r="B44" s="5"/>
      <c r="C44" s="5"/>
      <c r="D44" s="5"/>
      <c r="E44" s="20"/>
      <c r="F44" s="20"/>
      <c r="G44" s="21" t="str">
        <f t="shared" si="0"/>
        <v/>
      </c>
      <c r="H44" s="22" t="str">
        <f>IF(G44="","",SUMPRODUCT(--(G44&gt;=المساطر!$B$6:$B$15)))</f>
        <v/>
      </c>
      <c r="I44" s="20"/>
      <c r="J44" s="20"/>
      <c r="K44" s="21" t="str">
        <f t="shared" si="1"/>
        <v/>
      </c>
      <c r="L44" s="22" t="str">
        <f>IF(K44="","",SUMPRODUCT(--(K44&gt;=المساطر!$C$6:$C$15)))</f>
        <v/>
      </c>
      <c r="M44" s="20"/>
      <c r="N44" s="20"/>
      <c r="O44" s="21" t="str">
        <f t="shared" si="2"/>
        <v/>
      </c>
      <c r="P44" s="22" t="str">
        <f>IF(O44="","",SUMPRODUCT(--(O44&gt;=المساطر!$D$6:$D$15)))</f>
        <v/>
      </c>
      <c r="Q44" s="12"/>
      <c r="R44" s="12"/>
      <c r="S44" s="23" t="str">
        <f t="shared" si="3"/>
        <v/>
      </c>
      <c r="T44" s="22" t="str">
        <f>IF(S44="","",SUMPRODUCT(--(S44&lt;=المساطر!$E$6:$E$15)))</f>
        <v/>
      </c>
      <c r="U44" s="22" t="str">
        <f t="shared" si="4"/>
        <v/>
      </c>
      <c r="V44" s="21" t="str">
        <f t="shared" si="5"/>
        <v/>
      </c>
      <c r="W44" s="4" t="str">
        <f t="shared" si="6"/>
        <v/>
      </c>
      <c r="X44" s="21" t="str">
        <f t="shared" si="7"/>
        <v/>
      </c>
      <c r="Y44" s="22" t="str">
        <f t="shared" si="8"/>
        <v/>
      </c>
    </row>
    <row r="45" spans="1:26">
      <c r="A45" s="19">
        <v>40</v>
      </c>
      <c r="B45" s="5"/>
      <c r="C45" s="5"/>
      <c r="D45" s="5"/>
      <c r="E45" s="20"/>
      <c r="F45" s="20"/>
      <c r="G45" s="21" t="str">
        <f t="shared" si="0"/>
        <v/>
      </c>
      <c r="H45" s="22" t="str">
        <f>IF(G45="","",SUMPRODUCT(--(G45&gt;=المساطر!$B$6:$B$15)))</f>
        <v/>
      </c>
      <c r="I45" s="20"/>
      <c r="J45" s="20"/>
      <c r="K45" s="21" t="str">
        <f t="shared" si="1"/>
        <v/>
      </c>
      <c r="L45" s="22" t="str">
        <f>IF(K45="","",SUMPRODUCT(--(K45&gt;=المساطر!$C$6:$C$15)))</f>
        <v/>
      </c>
      <c r="M45" s="20"/>
      <c r="N45" s="20"/>
      <c r="O45" s="21" t="str">
        <f t="shared" si="2"/>
        <v/>
      </c>
      <c r="P45" s="22" t="str">
        <f>IF(O45="","",SUMPRODUCT(--(O45&gt;=المساطر!$D$6:$D$15)))</f>
        <v/>
      </c>
      <c r="Q45" s="12"/>
      <c r="R45" s="12"/>
      <c r="S45" s="23" t="str">
        <f t="shared" si="3"/>
        <v/>
      </c>
      <c r="T45" s="22" t="str">
        <f>IF(S45="","",SUMPRODUCT(--(S45&lt;=المساطر!$E$6:$E$15)))</f>
        <v/>
      </c>
      <c r="U45" s="22" t="str">
        <f t="shared" si="4"/>
        <v/>
      </c>
      <c r="V45" s="21" t="str">
        <f t="shared" si="5"/>
        <v/>
      </c>
      <c r="W45" s="4" t="str">
        <f t="shared" si="6"/>
        <v/>
      </c>
      <c r="X45" s="21" t="str">
        <f t="shared" si="7"/>
        <v/>
      </c>
      <c r="Y45" s="22" t="str">
        <f t="shared" si="8"/>
        <v/>
      </c>
    </row>
    <row r="47" spans="1:26" ht="48" customHeight="1">
      <c r="A47" s="42" t="s">
        <v>125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</sheetData>
  <mergeCells count="16">
    <mergeCell ref="A47:Z47"/>
    <mergeCell ref="A1:Z1"/>
    <mergeCell ref="A2:Z2"/>
    <mergeCell ref="A3:A4"/>
    <mergeCell ref="B3:B4"/>
    <mergeCell ref="C3:C4"/>
    <mergeCell ref="D3:D4"/>
    <mergeCell ref="E3:H3"/>
    <mergeCell ref="I3:L3"/>
    <mergeCell ref="M3:P3"/>
    <mergeCell ref="Q3:T3"/>
    <mergeCell ref="U3:U4"/>
    <mergeCell ref="V3:V4"/>
    <mergeCell ref="W3:W4"/>
    <mergeCell ref="X3:X4"/>
    <mergeCell ref="Y3:Y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3D"/>
    <pageSetUpPr fitToPage="1"/>
  </sheetPr>
  <dimension ref="A1:AD47"/>
  <sheetViews>
    <sheetView rightToLeft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3" sqref="C13"/>
    </sheetView>
  </sheetViews>
  <sheetFormatPr defaultColWidth="8.6640625" defaultRowHeight="14.4"/>
  <cols>
    <col min="1" max="1" width="7" customWidth="1"/>
    <col min="2" max="2" width="28" customWidth="1"/>
    <col min="3" max="3" width="14" customWidth="1"/>
    <col min="4" max="4" width="9" customWidth="1"/>
    <col min="5" max="24" width="10" customWidth="1"/>
    <col min="25" max="29" width="15" customWidth="1"/>
  </cols>
  <sheetData>
    <row r="1" spans="1:30" ht="30" customHeight="1">
      <c r="A1" s="35" t="s">
        <v>309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1:30" ht="15" customHeight="1">
      <c r="A2" s="36" t="s">
        <v>57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</row>
    <row r="3" spans="1:30" ht="43.5" customHeight="1">
      <c r="A3" s="43" t="s">
        <v>2</v>
      </c>
      <c r="B3" s="43" t="s">
        <v>103</v>
      </c>
      <c r="C3" s="43" t="s">
        <v>104</v>
      </c>
      <c r="D3" s="43" t="s">
        <v>105</v>
      </c>
      <c r="E3" s="43" t="s">
        <v>106</v>
      </c>
      <c r="F3" s="43"/>
      <c r="G3" s="43"/>
      <c r="H3" s="43"/>
      <c r="I3" s="43" t="s">
        <v>107</v>
      </c>
      <c r="J3" s="43"/>
      <c r="K3" s="43"/>
      <c r="L3" s="43"/>
      <c r="M3" s="43" t="s">
        <v>108</v>
      </c>
      <c r="N3" s="43"/>
      <c r="O3" s="43"/>
      <c r="P3" s="43"/>
      <c r="Q3" s="43" t="s">
        <v>126</v>
      </c>
      <c r="R3" s="43"/>
      <c r="S3" s="43"/>
      <c r="T3" s="43"/>
      <c r="U3" s="43" t="s">
        <v>127</v>
      </c>
      <c r="V3" s="43"/>
      <c r="W3" s="43"/>
      <c r="X3" s="43"/>
      <c r="Y3" s="43" t="s">
        <v>110</v>
      </c>
      <c r="Z3" s="43" t="s">
        <v>111</v>
      </c>
      <c r="AA3" s="43" t="s">
        <v>112</v>
      </c>
      <c r="AB3" s="43" t="s">
        <v>113</v>
      </c>
      <c r="AC3" s="43" t="s">
        <v>114</v>
      </c>
    </row>
    <row r="4" spans="1:30" ht="24" customHeight="1">
      <c r="A4" s="43"/>
      <c r="B4" s="43"/>
      <c r="C4" s="43"/>
      <c r="D4" s="43"/>
      <c r="E4" s="2" t="s">
        <v>115</v>
      </c>
      <c r="F4" s="2" t="s">
        <v>116</v>
      </c>
      <c r="G4" s="2" t="s">
        <v>117</v>
      </c>
      <c r="H4" s="2" t="s">
        <v>83</v>
      </c>
      <c r="I4" s="2" t="s">
        <v>115</v>
      </c>
      <c r="J4" s="2" t="s">
        <v>116</v>
      </c>
      <c r="K4" s="2" t="s">
        <v>117</v>
      </c>
      <c r="L4" s="2" t="s">
        <v>83</v>
      </c>
      <c r="M4" s="2" t="s">
        <v>115</v>
      </c>
      <c r="N4" s="2" t="s">
        <v>116</v>
      </c>
      <c r="O4" s="2" t="s">
        <v>117</v>
      </c>
      <c r="P4" s="2" t="s">
        <v>83</v>
      </c>
      <c r="Q4" s="2" t="s">
        <v>118</v>
      </c>
      <c r="R4" s="2" t="s">
        <v>119</v>
      </c>
      <c r="S4" s="2" t="s">
        <v>120</v>
      </c>
      <c r="T4" s="2" t="s">
        <v>83</v>
      </c>
      <c r="U4" s="2" t="s">
        <v>118</v>
      </c>
      <c r="V4" s="2" t="s">
        <v>119</v>
      </c>
      <c r="W4" s="2" t="s">
        <v>120</v>
      </c>
      <c r="X4" s="2" t="s">
        <v>83</v>
      </c>
      <c r="Y4" s="43"/>
      <c r="Z4" s="43"/>
      <c r="AA4" s="43"/>
      <c r="AB4" s="43"/>
      <c r="AC4" s="43"/>
    </row>
    <row r="5" spans="1:30">
      <c r="A5" s="7" t="s">
        <v>121</v>
      </c>
      <c r="B5" s="7" t="s">
        <v>122</v>
      </c>
      <c r="C5" s="7" t="s">
        <v>123</v>
      </c>
      <c r="D5" s="7" t="s">
        <v>124</v>
      </c>
      <c r="E5" s="13">
        <v>28</v>
      </c>
      <c r="F5" s="13">
        <v>29</v>
      </c>
      <c r="G5" s="14">
        <f t="shared" ref="G5:G45" si="0">IF(COUNT(E5:F5)=0,"",AVERAGE(E5:F5))</f>
        <v>28.5</v>
      </c>
      <c r="H5" s="15">
        <f>IF(G5="","",SUMPRODUCT(--(G5&gt;=المساطر!$B$20:$B$29)))</f>
        <v>5</v>
      </c>
      <c r="I5" s="13">
        <v>27</v>
      </c>
      <c r="J5" s="13">
        <v>27</v>
      </c>
      <c r="K5" s="14">
        <f t="shared" ref="K5:K45" si="1">IF(COUNT(I5:J5)=0,"",AVERAGE(I5:J5))</f>
        <v>27</v>
      </c>
      <c r="L5" s="15">
        <f>IF(K5="","",SUMPRODUCT(--(K5&gt;=المساطر!$C$20:$C$29)))</f>
        <v>5</v>
      </c>
      <c r="M5" s="13">
        <v>25</v>
      </c>
      <c r="N5" s="13">
        <v>26</v>
      </c>
      <c r="O5" s="14">
        <f t="shared" ref="O5:O45" si="2">IF(COUNT(M5:N5)=0,"",AVERAGE(M5:N5))</f>
        <v>25.5</v>
      </c>
      <c r="P5" s="15">
        <f>IF(O5="","",SUMPRODUCT(--(O5&gt;=المساطر!$D$20:$D$29)))</f>
        <v>3</v>
      </c>
      <c r="Q5" s="13">
        <v>200</v>
      </c>
      <c r="R5" s="13">
        <v>205</v>
      </c>
      <c r="S5" s="14">
        <f t="shared" ref="S5:S45" si="3">IF(COUNT(Q5:R5)=0,"",MAX(Q5:R5))</f>
        <v>205</v>
      </c>
      <c r="T5" s="15">
        <f>IF(S5="","",SUMPRODUCT(--(S5&gt;=المساطر!$E$20:$E$29)))</f>
        <v>8</v>
      </c>
      <c r="U5" s="16">
        <v>11.4</v>
      </c>
      <c r="V5" s="16">
        <v>11.9</v>
      </c>
      <c r="W5" s="17">
        <f t="shared" ref="W5:W45" si="4">IF(COUNT(U5:V5)=0,"",MIN(U5:V5))</f>
        <v>11.4</v>
      </c>
      <c r="X5" s="15">
        <f>IF(W5="","",SUMPRODUCT(--(W5&lt;=المساطر!$F$20:$F$29)))</f>
        <v>7</v>
      </c>
      <c r="Y5" s="15">
        <f t="shared" ref="Y5:Y45" si="5">IF(COUNT(H5,L5,P5,T5,X5)=5,SUM(H5,L5,P5,T5,X5),"")</f>
        <v>28</v>
      </c>
      <c r="Z5" s="14">
        <f t="shared" ref="Z5:Z45" si="6">IF(Y5="","",Y5/5)</f>
        <v>5.6</v>
      </c>
      <c r="AA5" s="18" t="str">
        <f t="shared" ref="AA5:AA45" si="7">IF(Z5="","",IF(ROUND(Z5,0)&gt;=9,"ممتاز",IF(ROUND(Z5,0)&gt;=7,"جيد جدا",IF(ROUND(Z5,0)&gt;=5,"جيد",IF(ROUND(Z5,0)&gt;=3,"مقبول","ضعيف")))))</f>
        <v>جيد</v>
      </c>
      <c r="AB5" s="14">
        <f t="shared" ref="AB5:AB45" si="8">IF(COUNT(G5,K5,O5)=3,SUM(G5,K5,O5),"")</f>
        <v>81</v>
      </c>
      <c r="AC5" s="15">
        <f t="shared" ref="AC5:AC45" si="9">IF(Y5="","",1+COUNTIF($Y$6:$Y$45,"&gt;"&amp;Y5)+COUNTIFS($Y$6:$Y$45,Y5,$AB$6:$AB$45,"&gt;"&amp;AB5))</f>
        <v>1</v>
      </c>
    </row>
    <row r="6" spans="1:30">
      <c r="A6" s="19">
        <v>1</v>
      </c>
      <c r="B6" s="5"/>
      <c r="C6" s="5"/>
      <c r="D6" s="5"/>
      <c r="E6" s="20"/>
      <c r="F6" s="20"/>
      <c r="G6" s="21" t="str">
        <f t="shared" si="0"/>
        <v/>
      </c>
      <c r="H6" s="22" t="str">
        <f>IF(G6="","",SUMPRODUCT(--(G6&gt;=المساطر!$B$20:$B$29)))</f>
        <v/>
      </c>
      <c r="I6" s="20"/>
      <c r="J6" s="20"/>
      <c r="K6" s="21" t="str">
        <f t="shared" si="1"/>
        <v/>
      </c>
      <c r="L6" s="22" t="str">
        <f>IF(K6="","",SUMPRODUCT(--(K6&gt;=المساطر!$C$20:$C$29)))</f>
        <v/>
      </c>
      <c r="M6" s="20"/>
      <c r="N6" s="20"/>
      <c r="O6" s="21" t="str">
        <f t="shared" si="2"/>
        <v/>
      </c>
      <c r="P6" s="22" t="str">
        <f>IF(O6="","",SUMPRODUCT(--(O6&gt;=المساطر!$D$20:$D$29)))</f>
        <v/>
      </c>
      <c r="Q6" s="20"/>
      <c r="R6" s="20"/>
      <c r="S6" s="21" t="str">
        <f t="shared" si="3"/>
        <v/>
      </c>
      <c r="T6" s="22" t="str">
        <f>IF(S6="","",SUMPRODUCT(--(S6&gt;=المساطر!$E$20:$E$29)))</f>
        <v/>
      </c>
      <c r="U6" s="12"/>
      <c r="V6" s="12"/>
      <c r="W6" s="23" t="str">
        <f t="shared" si="4"/>
        <v/>
      </c>
      <c r="X6" s="22" t="str">
        <f>IF(W6="","",SUMPRODUCT(--(W6&lt;=المساطر!$F$20:$F$29)))</f>
        <v/>
      </c>
      <c r="Y6" s="22" t="str">
        <f t="shared" si="5"/>
        <v/>
      </c>
      <c r="Z6" s="21" t="str">
        <f t="shared" si="6"/>
        <v/>
      </c>
      <c r="AA6" s="4" t="str">
        <f t="shared" si="7"/>
        <v/>
      </c>
      <c r="AB6" s="21" t="str">
        <f t="shared" si="8"/>
        <v/>
      </c>
      <c r="AC6" s="22" t="str">
        <f t="shared" si="9"/>
        <v/>
      </c>
    </row>
    <row r="7" spans="1:30">
      <c r="A7" s="19">
        <v>2</v>
      </c>
      <c r="B7" s="5"/>
      <c r="C7" s="5"/>
      <c r="D7" s="5"/>
      <c r="E7" s="20"/>
      <c r="F7" s="20"/>
      <c r="G7" s="21" t="str">
        <f t="shared" si="0"/>
        <v/>
      </c>
      <c r="H7" s="22" t="str">
        <f>IF(G7="","",SUMPRODUCT(--(G7&gt;=المساطر!$B$20:$B$29)))</f>
        <v/>
      </c>
      <c r="I7" s="20"/>
      <c r="J7" s="20"/>
      <c r="K7" s="21" t="str">
        <f t="shared" si="1"/>
        <v/>
      </c>
      <c r="L7" s="22" t="str">
        <f>IF(K7="","",SUMPRODUCT(--(K7&gt;=المساطر!$C$20:$C$29)))</f>
        <v/>
      </c>
      <c r="M7" s="20"/>
      <c r="N7" s="20"/>
      <c r="O7" s="21" t="str">
        <f t="shared" si="2"/>
        <v/>
      </c>
      <c r="P7" s="22" t="str">
        <f>IF(O7="","",SUMPRODUCT(--(O7&gt;=المساطر!$D$20:$D$29)))</f>
        <v/>
      </c>
      <c r="Q7" s="20"/>
      <c r="R7" s="20"/>
      <c r="S7" s="21" t="str">
        <f t="shared" si="3"/>
        <v/>
      </c>
      <c r="T7" s="22" t="str">
        <f>IF(S7="","",SUMPRODUCT(--(S7&gt;=المساطر!$E$20:$E$29)))</f>
        <v/>
      </c>
      <c r="U7" s="12"/>
      <c r="V7" s="12"/>
      <c r="W7" s="23" t="str">
        <f t="shared" si="4"/>
        <v/>
      </c>
      <c r="X7" s="22" t="str">
        <f>IF(W7="","",SUMPRODUCT(--(W7&lt;=المساطر!$F$20:$F$29)))</f>
        <v/>
      </c>
      <c r="Y7" s="22" t="str">
        <f t="shared" si="5"/>
        <v/>
      </c>
      <c r="Z7" s="21" t="str">
        <f t="shared" si="6"/>
        <v/>
      </c>
      <c r="AA7" s="4" t="str">
        <f t="shared" si="7"/>
        <v/>
      </c>
      <c r="AB7" s="21" t="str">
        <f t="shared" si="8"/>
        <v/>
      </c>
      <c r="AC7" s="22" t="str">
        <f t="shared" si="9"/>
        <v/>
      </c>
    </row>
    <row r="8" spans="1:30">
      <c r="A8" s="19">
        <v>3</v>
      </c>
      <c r="B8" s="5"/>
      <c r="C8" s="5"/>
      <c r="D8" s="5"/>
      <c r="E8" s="20"/>
      <c r="F8" s="20"/>
      <c r="G8" s="21" t="str">
        <f t="shared" si="0"/>
        <v/>
      </c>
      <c r="H8" s="22" t="str">
        <f>IF(G8="","",SUMPRODUCT(--(G8&gt;=المساطر!$B$20:$B$29)))</f>
        <v/>
      </c>
      <c r="I8" s="20"/>
      <c r="J8" s="20"/>
      <c r="K8" s="21" t="str">
        <f t="shared" si="1"/>
        <v/>
      </c>
      <c r="L8" s="22" t="str">
        <f>IF(K8="","",SUMPRODUCT(--(K8&gt;=المساطر!$C$20:$C$29)))</f>
        <v/>
      </c>
      <c r="M8" s="20"/>
      <c r="N8" s="20"/>
      <c r="O8" s="21" t="str">
        <f t="shared" si="2"/>
        <v/>
      </c>
      <c r="P8" s="22" t="str">
        <f>IF(O8="","",SUMPRODUCT(--(O8&gt;=المساطر!$D$20:$D$29)))</f>
        <v/>
      </c>
      <c r="Q8" s="20"/>
      <c r="R8" s="20"/>
      <c r="S8" s="21" t="str">
        <f t="shared" si="3"/>
        <v/>
      </c>
      <c r="T8" s="22" t="str">
        <f>IF(S8="","",SUMPRODUCT(--(S8&gt;=المساطر!$E$20:$E$29)))</f>
        <v/>
      </c>
      <c r="U8" s="12"/>
      <c r="V8" s="12"/>
      <c r="W8" s="23" t="str">
        <f t="shared" si="4"/>
        <v/>
      </c>
      <c r="X8" s="22" t="str">
        <f>IF(W8="","",SUMPRODUCT(--(W8&lt;=المساطر!$F$20:$F$29)))</f>
        <v/>
      </c>
      <c r="Y8" s="22" t="str">
        <f t="shared" si="5"/>
        <v/>
      </c>
      <c r="Z8" s="21" t="str">
        <f t="shared" si="6"/>
        <v/>
      </c>
      <c r="AA8" s="4" t="str">
        <f t="shared" si="7"/>
        <v/>
      </c>
      <c r="AB8" s="21" t="str">
        <f t="shared" si="8"/>
        <v/>
      </c>
      <c r="AC8" s="22" t="str">
        <f t="shared" si="9"/>
        <v/>
      </c>
    </row>
    <row r="9" spans="1:30">
      <c r="A9" s="19">
        <v>4</v>
      </c>
      <c r="B9" s="5"/>
      <c r="C9" s="5"/>
      <c r="D9" s="5"/>
      <c r="E9" s="20"/>
      <c r="F9" s="20"/>
      <c r="G9" s="21" t="str">
        <f t="shared" si="0"/>
        <v/>
      </c>
      <c r="H9" s="22" t="str">
        <f>IF(G9="","",SUMPRODUCT(--(G9&gt;=المساطر!$B$20:$B$29)))</f>
        <v/>
      </c>
      <c r="I9" s="20"/>
      <c r="J9" s="20"/>
      <c r="K9" s="21" t="str">
        <f t="shared" si="1"/>
        <v/>
      </c>
      <c r="L9" s="22" t="str">
        <f>IF(K9="","",SUMPRODUCT(--(K9&gt;=المساطر!$C$20:$C$29)))</f>
        <v/>
      </c>
      <c r="M9" s="20"/>
      <c r="N9" s="20"/>
      <c r="O9" s="21" t="str">
        <f t="shared" si="2"/>
        <v/>
      </c>
      <c r="P9" s="22" t="str">
        <f>IF(O9="","",SUMPRODUCT(--(O9&gt;=المساطر!$D$20:$D$29)))</f>
        <v/>
      </c>
      <c r="Q9" s="20"/>
      <c r="R9" s="20"/>
      <c r="S9" s="21" t="str">
        <f t="shared" si="3"/>
        <v/>
      </c>
      <c r="T9" s="22" t="str">
        <f>IF(S9="","",SUMPRODUCT(--(S9&gt;=المساطر!$E$20:$E$29)))</f>
        <v/>
      </c>
      <c r="U9" s="12"/>
      <c r="V9" s="12"/>
      <c r="W9" s="23" t="str">
        <f t="shared" si="4"/>
        <v/>
      </c>
      <c r="X9" s="22" t="str">
        <f>IF(W9="","",SUMPRODUCT(--(W9&lt;=المساطر!$F$20:$F$29)))</f>
        <v/>
      </c>
      <c r="Y9" s="22" t="str">
        <f t="shared" si="5"/>
        <v/>
      </c>
      <c r="Z9" s="21" t="str">
        <f t="shared" si="6"/>
        <v/>
      </c>
      <c r="AA9" s="4" t="str">
        <f t="shared" si="7"/>
        <v/>
      </c>
      <c r="AB9" s="21" t="str">
        <f t="shared" si="8"/>
        <v/>
      </c>
      <c r="AC9" s="22" t="str">
        <f t="shared" si="9"/>
        <v/>
      </c>
    </row>
    <row r="10" spans="1:30">
      <c r="A10" s="19">
        <v>5</v>
      </c>
      <c r="B10" s="5"/>
      <c r="C10" s="5"/>
      <c r="D10" s="5"/>
      <c r="E10" s="20"/>
      <c r="F10" s="20"/>
      <c r="G10" s="21" t="str">
        <f t="shared" si="0"/>
        <v/>
      </c>
      <c r="H10" s="22" t="str">
        <f>IF(G10="","",SUMPRODUCT(--(G10&gt;=المساطر!$B$20:$B$29)))</f>
        <v/>
      </c>
      <c r="I10" s="20"/>
      <c r="J10" s="20"/>
      <c r="K10" s="21" t="str">
        <f t="shared" si="1"/>
        <v/>
      </c>
      <c r="L10" s="22" t="str">
        <f>IF(K10="","",SUMPRODUCT(--(K10&gt;=المساطر!$C$20:$C$29)))</f>
        <v/>
      </c>
      <c r="M10" s="20"/>
      <c r="N10" s="20"/>
      <c r="O10" s="21" t="str">
        <f t="shared" si="2"/>
        <v/>
      </c>
      <c r="P10" s="22" t="str">
        <f>IF(O10="","",SUMPRODUCT(--(O10&gt;=المساطر!$D$20:$D$29)))</f>
        <v/>
      </c>
      <c r="Q10" s="20"/>
      <c r="R10" s="20"/>
      <c r="S10" s="21" t="str">
        <f t="shared" si="3"/>
        <v/>
      </c>
      <c r="T10" s="22" t="str">
        <f>IF(S10="","",SUMPRODUCT(--(S10&gt;=المساطر!$E$20:$E$29)))</f>
        <v/>
      </c>
      <c r="U10" s="12"/>
      <c r="V10" s="12"/>
      <c r="W10" s="23" t="str">
        <f t="shared" si="4"/>
        <v/>
      </c>
      <c r="X10" s="22" t="str">
        <f>IF(W10="","",SUMPRODUCT(--(W10&lt;=المساطر!$F$20:$F$29)))</f>
        <v/>
      </c>
      <c r="Y10" s="22" t="str">
        <f t="shared" si="5"/>
        <v/>
      </c>
      <c r="Z10" s="21" t="str">
        <f t="shared" si="6"/>
        <v/>
      </c>
      <c r="AA10" s="4" t="str">
        <f t="shared" si="7"/>
        <v/>
      </c>
      <c r="AB10" s="21" t="str">
        <f t="shared" si="8"/>
        <v/>
      </c>
      <c r="AC10" s="22" t="str">
        <f t="shared" si="9"/>
        <v/>
      </c>
    </row>
    <row r="11" spans="1:30">
      <c r="A11" s="19">
        <v>6</v>
      </c>
      <c r="B11" s="5"/>
      <c r="C11" s="5"/>
      <c r="D11" s="5"/>
      <c r="E11" s="20"/>
      <c r="F11" s="20"/>
      <c r="G11" s="21" t="str">
        <f t="shared" si="0"/>
        <v/>
      </c>
      <c r="H11" s="22" t="str">
        <f>IF(G11="","",SUMPRODUCT(--(G11&gt;=المساطر!$B$20:$B$29)))</f>
        <v/>
      </c>
      <c r="I11" s="20"/>
      <c r="J11" s="20"/>
      <c r="K11" s="21" t="str">
        <f t="shared" si="1"/>
        <v/>
      </c>
      <c r="L11" s="22" t="str">
        <f>IF(K11="","",SUMPRODUCT(--(K11&gt;=المساطر!$C$20:$C$29)))</f>
        <v/>
      </c>
      <c r="M11" s="20"/>
      <c r="N11" s="20"/>
      <c r="O11" s="21" t="str">
        <f t="shared" si="2"/>
        <v/>
      </c>
      <c r="P11" s="22" t="str">
        <f>IF(O11="","",SUMPRODUCT(--(O11&gt;=المساطر!$D$20:$D$29)))</f>
        <v/>
      </c>
      <c r="Q11" s="20"/>
      <c r="R11" s="20"/>
      <c r="S11" s="21" t="str">
        <f t="shared" si="3"/>
        <v/>
      </c>
      <c r="T11" s="22" t="str">
        <f>IF(S11="","",SUMPRODUCT(--(S11&gt;=المساطر!$E$20:$E$29)))</f>
        <v/>
      </c>
      <c r="U11" s="12"/>
      <c r="V11" s="12"/>
      <c r="W11" s="23" t="str">
        <f t="shared" si="4"/>
        <v/>
      </c>
      <c r="X11" s="22" t="str">
        <f>IF(W11="","",SUMPRODUCT(--(W11&lt;=المساطر!$F$20:$F$29)))</f>
        <v/>
      </c>
      <c r="Y11" s="22" t="str">
        <f t="shared" si="5"/>
        <v/>
      </c>
      <c r="Z11" s="21" t="str">
        <f t="shared" si="6"/>
        <v/>
      </c>
      <c r="AA11" s="4" t="str">
        <f t="shared" si="7"/>
        <v/>
      </c>
      <c r="AB11" s="21" t="str">
        <f t="shared" si="8"/>
        <v/>
      </c>
      <c r="AC11" s="22" t="str">
        <f t="shared" si="9"/>
        <v/>
      </c>
    </row>
    <row r="12" spans="1:30">
      <c r="A12" s="19">
        <v>7</v>
      </c>
      <c r="B12" s="5"/>
      <c r="C12" s="5"/>
      <c r="D12" s="5"/>
      <c r="E12" s="20"/>
      <c r="F12" s="20"/>
      <c r="G12" s="21" t="str">
        <f t="shared" si="0"/>
        <v/>
      </c>
      <c r="H12" s="22" t="str">
        <f>IF(G12="","",SUMPRODUCT(--(G12&gt;=المساطر!$B$20:$B$29)))</f>
        <v/>
      </c>
      <c r="I12" s="20"/>
      <c r="J12" s="20"/>
      <c r="K12" s="21" t="str">
        <f t="shared" si="1"/>
        <v/>
      </c>
      <c r="L12" s="22" t="str">
        <f>IF(K12="","",SUMPRODUCT(--(K12&gt;=المساطر!$C$20:$C$29)))</f>
        <v/>
      </c>
      <c r="M12" s="20"/>
      <c r="N12" s="20"/>
      <c r="O12" s="21" t="str">
        <f t="shared" si="2"/>
        <v/>
      </c>
      <c r="P12" s="22" t="str">
        <f>IF(O12="","",SUMPRODUCT(--(O12&gt;=المساطر!$D$20:$D$29)))</f>
        <v/>
      </c>
      <c r="Q12" s="20"/>
      <c r="R12" s="20"/>
      <c r="S12" s="21" t="str">
        <f t="shared" si="3"/>
        <v/>
      </c>
      <c r="T12" s="22" t="str">
        <f>IF(S12="","",SUMPRODUCT(--(S12&gt;=المساطر!$E$20:$E$29)))</f>
        <v/>
      </c>
      <c r="U12" s="12"/>
      <c r="V12" s="12"/>
      <c r="W12" s="23" t="str">
        <f t="shared" si="4"/>
        <v/>
      </c>
      <c r="X12" s="22" t="str">
        <f>IF(W12="","",SUMPRODUCT(--(W12&lt;=المساطر!$F$20:$F$29)))</f>
        <v/>
      </c>
      <c r="Y12" s="22" t="str">
        <f t="shared" si="5"/>
        <v/>
      </c>
      <c r="Z12" s="21" t="str">
        <f t="shared" si="6"/>
        <v/>
      </c>
      <c r="AA12" s="4" t="str">
        <f t="shared" si="7"/>
        <v/>
      </c>
      <c r="AB12" s="21" t="str">
        <f t="shared" si="8"/>
        <v/>
      </c>
      <c r="AC12" s="22" t="str">
        <f t="shared" si="9"/>
        <v/>
      </c>
    </row>
    <row r="13" spans="1:30">
      <c r="A13" s="19">
        <v>8</v>
      </c>
      <c r="B13" s="5"/>
      <c r="C13" s="5"/>
      <c r="D13" s="5"/>
      <c r="E13" s="20"/>
      <c r="F13" s="20"/>
      <c r="G13" s="21" t="str">
        <f t="shared" si="0"/>
        <v/>
      </c>
      <c r="H13" s="22" t="str">
        <f>IF(G13="","",SUMPRODUCT(--(G13&gt;=المساطر!$B$20:$B$29)))</f>
        <v/>
      </c>
      <c r="I13" s="20"/>
      <c r="J13" s="20"/>
      <c r="K13" s="21" t="str">
        <f t="shared" si="1"/>
        <v/>
      </c>
      <c r="L13" s="22" t="str">
        <f>IF(K13="","",SUMPRODUCT(--(K13&gt;=المساطر!$C$20:$C$29)))</f>
        <v/>
      </c>
      <c r="M13" s="20"/>
      <c r="N13" s="20"/>
      <c r="O13" s="21" t="str">
        <f t="shared" si="2"/>
        <v/>
      </c>
      <c r="P13" s="22" t="str">
        <f>IF(O13="","",SUMPRODUCT(--(O13&gt;=المساطر!$D$20:$D$29)))</f>
        <v/>
      </c>
      <c r="Q13" s="20"/>
      <c r="R13" s="20"/>
      <c r="S13" s="21" t="str">
        <f t="shared" si="3"/>
        <v/>
      </c>
      <c r="T13" s="22" t="str">
        <f>IF(S13="","",SUMPRODUCT(--(S13&gt;=المساطر!$E$20:$E$29)))</f>
        <v/>
      </c>
      <c r="U13" s="12"/>
      <c r="V13" s="12"/>
      <c r="W13" s="23" t="str">
        <f t="shared" si="4"/>
        <v/>
      </c>
      <c r="X13" s="22" t="str">
        <f>IF(W13="","",SUMPRODUCT(--(W13&lt;=المساطر!$F$20:$F$29)))</f>
        <v/>
      </c>
      <c r="Y13" s="22" t="str">
        <f t="shared" si="5"/>
        <v/>
      </c>
      <c r="Z13" s="21" t="str">
        <f t="shared" si="6"/>
        <v/>
      </c>
      <c r="AA13" s="4" t="str">
        <f t="shared" si="7"/>
        <v/>
      </c>
      <c r="AB13" s="21" t="str">
        <f t="shared" si="8"/>
        <v/>
      </c>
      <c r="AC13" s="22" t="str">
        <f t="shared" si="9"/>
        <v/>
      </c>
    </row>
    <row r="14" spans="1:30">
      <c r="A14" s="19">
        <v>9</v>
      </c>
      <c r="B14" s="5"/>
      <c r="C14" s="5"/>
      <c r="D14" s="5"/>
      <c r="E14" s="20"/>
      <c r="F14" s="20"/>
      <c r="G14" s="21" t="str">
        <f t="shared" si="0"/>
        <v/>
      </c>
      <c r="H14" s="22" t="str">
        <f>IF(G14="","",SUMPRODUCT(--(G14&gt;=المساطر!$B$20:$B$29)))</f>
        <v/>
      </c>
      <c r="I14" s="20"/>
      <c r="J14" s="20"/>
      <c r="K14" s="21" t="str">
        <f t="shared" si="1"/>
        <v/>
      </c>
      <c r="L14" s="22" t="str">
        <f>IF(K14="","",SUMPRODUCT(--(K14&gt;=المساطر!$C$20:$C$29)))</f>
        <v/>
      </c>
      <c r="M14" s="20"/>
      <c r="N14" s="20"/>
      <c r="O14" s="21" t="str">
        <f t="shared" si="2"/>
        <v/>
      </c>
      <c r="P14" s="22" t="str">
        <f>IF(O14="","",SUMPRODUCT(--(O14&gt;=المساطر!$D$20:$D$29)))</f>
        <v/>
      </c>
      <c r="Q14" s="20"/>
      <c r="R14" s="20"/>
      <c r="S14" s="21" t="str">
        <f t="shared" si="3"/>
        <v/>
      </c>
      <c r="T14" s="22" t="str">
        <f>IF(S14="","",SUMPRODUCT(--(S14&gt;=المساطر!$E$20:$E$29)))</f>
        <v/>
      </c>
      <c r="U14" s="12"/>
      <c r="V14" s="12"/>
      <c r="W14" s="23" t="str">
        <f t="shared" si="4"/>
        <v/>
      </c>
      <c r="X14" s="22" t="str">
        <f>IF(W14="","",SUMPRODUCT(--(W14&lt;=المساطر!$F$20:$F$29)))</f>
        <v/>
      </c>
      <c r="Y14" s="22" t="str">
        <f t="shared" si="5"/>
        <v/>
      </c>
      <c r="Z14" s="21" t="str">
        <f t="shared" si="6"/>
        <v/>
      </c>
      <c r="AA14" s="4" t="str">
        <f t="shared" si="7"/>
        <v/>
      </c>
      <c r="AB14" s="21" t="str">
        <f t="shared" si="8"/>
        <v/>
      </c>
      <c r="AC14" s="22" t="str">
        <f t="shared" si="9"/>
        <v/>
      </c>
    </row>
    <row r="15" spans="1:30">
      <c r="A15" s="19">
        <v>10</v>
      </c>
      <c r="B15" s="5"/>
      <c r="C15" s="5"/>
      <c r="D15" s="5"/>
      <c r="E15" s="20"/>
      <c r="F15" s="20"/>
      <c r="G15" s="21" t="str">
        <f t="shared" si="0"/>
        <v/>
      </c>
      <c r="H15" s="22" t="str">
        <f>IF(G15="","",SUMPRODUCT(--(G15&gt;=المساطر!$B$20:$B$29)))</f>
        <v/>
      </c>
      <c r="I15" s="20"/>
      <c r="J15" s="20"/>
      <c r="K15" s="21" t="str">
        <f t="shared" si="1"/>
        <v/>
      </c>
      <c r="L15" s="22" t="str">
        <f>IF(K15="","",SUMPRODUCT(--(K15&gt;=المساطر!$C$20:$C$29)))</f>
        <v/>
      </c>
      <c r="M15" s="20"/>
      <c r="N15" s="20"/>
      <c r="O15" s="21" t="str">
        <f t="shared" si="2"/>
        <v/>
      </c>
      <c r="P15" s="22" t="str">
        <f>IF(O15="","",SUMPRODUCT(--(O15&gt;=المساطر!$D$20:$D$29)))</f>
        <v/>
      </c>
      <c r="Q15" s="20"/>
      <c r="R15" s="20"/>
      <c r="S15" s="21" t="str">
        <f t="shared" si="3"/>
        <v/>
      </c>
      <c r="T15" s="22" t="str">
        <f>IF(S15="","",SUMPRODUCT(--(S15&gt;=المساطر!$E$20:$E$29)))</f>
        <v/>
      </c>
      <c r="U15" s="12"/>
      <c r="V15" s="12"/>
      <c r="W15" s="23" t="str">
        <f t="shared" si="4"/>
        <v/>
      </c>
      <c r="X15" s="22" t="str">
        <f>IF(W15="","",SUMPRODUCT(--(W15&lt;=المساطر!$F$20:$F$29)))</f>
        <v/>
      </c>
      <c r="Y15" s="22" t="str">
        <f t="shared" si="5"/>
        <v/>
      </c>
      <c r="Z15" s="21" t="str">
        <f t="shared" si="6"/>
        <v/>
      </c>
      <c r="AA15" s="4" t="str">
        <f t="shared" si="7"/>
        <v/>
      </c>
      <c r="AB15" s="21" t="str">
        <f t="shared" si="8"/>
        <v/>
      </c>
      <c r="AC15" s="22" t="str">
        <f t="shared" si="9"/>
        <v/>
      </c>
    </row>
    <row r="16" spans="1:30">
      <c r="A16" s="19">
        <v>11</v>
      </c>
      <c r="B16" s="5"/>
      <c r="C16" s="5"/>
      <c r="D16" s="5"/>
      <c r="E16" s="20"/>
      <c r="F16" s="20"/>
      <c r="G16" s="21" t="str">
        <f t="shared" si="0"/>
        <v/>
      </c>
      <c r="H16" s="22" t="str">
        <f>IF(G16="","",SUMPRODUCT(--(G16&gt;=المساطر!$B$20:$B$29)))</f>
        <v/>
      </c>
      <c r="I16" s="20"/>
      <c r="J16" s="20"/>
      <c r="K16" s="21" t="str">
        <f t="shared" si="1"/>
        <v/>
      </c>
      <c r="L16" s="22" t="str">
        <f>IF(K16="","",SUMPRODUCT(--(K16&gt;=المساطر!$C$20:$C$29)))</f>
        <v/>
      </c>
      <c r="M16" s="20"/>
      <c r="N16" s="20"/>
      <c r="O16" s="21" t="str">
        <f t="shared" si="2"/>
        <v/>
      </c>
      <c r="P16" s="22" t="str">
        <f>IF(O16="","",SUMPRODUCT(--(O16&gt;=المساطر!$D$20:$D$29)))</f>
        <v/>
      </c>
      <c r="Q16" s="20"/>
      <c r="R16" s="20"/>
      <c r="S16" s="21" t="str">
        <f t="shared" si="3"/>
        <v/>
      </c>
      <c r="T16" s="22" t="str">
        <f>IF(S16="","",SUMPRODUCT(--(S16&gt;=المساطر!$E$20:$E$29)))</f>
        <v/>
      </c>
      <c r="U16" s="12"/>
      <c r="V16" s="12"/>
      <c r="W16" s="23" t="str">
        <f t="shared" si="4"/>
        <v/>
      </c>
      <c r="X16" s="22" t="str">
        <f>IF(W16="","",SUMPRODUCT(--(W16&lt;=المساطر!$F$20:$F$29)))</f>
        <v/>
      </c>
      <c r="Y16" s="22" t="str">
        <f t="shared" si="5"/>
        <v/>
      </c>
      <c r="Z16" s="21" t="str">
        <f t="shared" si="6"/>
        <v/>
      </c>
      <c r="AA16" s="4" t="str">
        <f t="shared" si="7"/>
        <v/>
      </c>
      <c r="AB16" s="21" t="str">
        <f t="shared" si="8"/>
        <v/>
      </c>
      <c r="AC16" s="22" t="str">
        <f t="shared" si="9"/>
        <v/>
      </c>
    </row>
    <row r="17" spans="1:29">
      <c r="A17" s="19">
        <v>12</v>
      </c>
      <c r="B17" s="5"/>
      <c r="C17" s="5"/>
      <c r="D17" s="5"/>
      <c r="E17" s="20"/>
      <c r="F17" s="20"/>
      <c r="G17" s="21" t="str">
        <f t="shared" si="0"/>
        <v/>
      </c>
      <c r="H17" s="22" t="str">
        <f>IF(G17="","",SUMPRODUCT(--(G17&gt;=المساطر!$B$20:$B$29)))</f>
        <v/>
      </c>
      <c r="I17" s="20"/>
      <c r="J17" s="20"/>
      <c r="K17" s="21" t="str">
        <f t="shared" si="1"/>
        <v/>
      </c>
      <c r="L17" s="22" t="str">
        <f>IF(K17="","",SUMPRODUCT(--(K17&gt;=المساطر!$C$20:$C$29)))</f>
        <v/>
      </c>
      <c r="M17" s="20"/>
      <c r="N17" s="20"/>
      <c r="O17" s="21" t="str">
        <f t="shared" si="2"/>
        <v/>
      </c>
      <c r="P17" s="22" t="str">
        <f>IF(O17="","",SUMPRODUCT(--(O17&gt;=المساطر!$D$20:$D$29)))</f>
        <v/>
      </c>
      <c r="Q17" s="20"/>
      <c r="R17" s="20"/>
      <c r="S17" s="21" t="str">
        <f t="shared" si="3"/>
        <v/>
      </c>
      <c r="T17" s="22" t="str">
        <f>IF(S17="","",SUMPRODUCT(--(S17&gt;=المساطر!$E$20:$E$29)))</f>
        <v/>
      </c>
      <c r="U17" s="12"/>
      <c r="V17" s="12"/>
      <c r="W17" s="23" t="str">
        <f t="shared" si="4"/>
        <v/>
      </c>
      <c r="X17" s="22" t="str">
        <f>IF(W17="","",SUMPRODUCT(--(W17&lt;=المساطر!$F$20:$F$29)))</f>
        <v/>
      </c>
      <c r="Y17" s="22" t="str">
        <f t="shared" si="5"/>
        <v/>
      </c>
      <c r="Z17" s="21" t="str">
        <f t="shared" si="6"/>
        <v/>
      </c>
      <c r="AA17" s="4" t="str">
        <f t="shared" si="7"/>
        <v/>
      </c>
      <c r="AB17" s="21" t="str">
        <f t="shared" si="8"/>
        <v/>
      </c>
      <c r="AC17" s="22" t="str">
        <f t="shared" si="9"/>
        <v/>
      </c>
    </row>
    <row r="18" spans="1:29">
      <c r="A18" s="19">
        <v>13</v>
      </c>
      <c r="B18" s="5"/>
      <c r="C18" s="5"/>
      <c r="D18" s="5"/>
      <c r="E18" s="20"/>
      <c r="F18" s="20"/>
      <c r="G18" s="21" t="str">
        <f t="shared" si="0"/>
        <v/>
      </c>
      <c r="H18" s="22" t="str">
        <f>IF(G18="","",SUMPRODUCT(--(G18&gt;=المساطر!$B$20:$B$29)))</f>
        <v/>
      </c>
      <c r="I18" s="20"/>
      <c r="J18" s="20"/>
      <c r="K18" s="21" t="str">
        <f t="shared" si="1"/>
        <v/>
      </c>
      <c r="L18" s="22" t="str">
        <f>IF(K18="","",SUMPRODUCT(--(K18&gt;=المساطر!$C$20:$C$29)))</f>
        <v/>
      </c>
      <c r="M18" s="20"/>
      <c r="N18" s="20"/>
      <c r="O18" s="21" t="str">
        <f t="shared" si="2"/>
        <v/>
      </c>
      <c r="P18" s="22" t="str">
        <f>IF(O18="","",SUMPRODUCT(--(O18&gt;=المساطر!$D$20:$D$29)))</f>
        <v/>
      </c>
      <c r="Q18" s="20"/>
      <c r="R18" s="20"/>
      <c r="S18" s="21" t="str">
        <f t="shared" si="3"/>
        <v/>
      </c>
      <c r="T18" s="22" t="str">
        <f>IF(S18="","",SUMPRODUCT(--(S18&gt;=المساطر!$E$20:$E$29)))</f>
        <v/>
      </c>
      <c r="U18" s="12"/>
      <c r="V18" s="12"/>
      <c r="W18" s="23" t="str">
        <f t="shared" si="4"/>
        <v/>
      </c>
      <c r="X18" s="22" t="str">
        <f>IF(W18="","",SUMPRODUCT(--(W18&lt;=المساطر!$F$20:$F$29)))</f>
        <v/>
      </c>
      <c r="Y18" s="22" t="str">
        <f t="shared" si="5"/>
        <v/>
      </c>
      <c r="Z18" s="21" t="str">
        <f t="shared" si="6"/>
        <v/>
      </c>
      <c r="AA18" s="4" t="str">
        <f t="shared" si="7"/>
        <v/>
      </c>
      <c r="AB18" s="21" t="str">
        <f t="shared" si="8"/>
        <v/>
      </c>
      <c r="AC18" s="22" t="str">
        <f t="shared" si="9"/>
        <v/>
      </c>
    </row>
    <row r="19" spans="1:29">
      <c r="A19" s="19">
        <v>14</v>
      </c>
      <c r="B19" s="5"/>
      <c r="C19" s="5"/>
      <c r="D19" s="5"/>
      <c r="E19" s="20"/>
      <c r="F19" s="20"/>
      <c r="G19" s="21" t="str">
        <f t="shared" si="0"/>
        <v/>
      </c>
      <c r="H19" s="22" t="str">
        <f>IF(G19="","",SUMPRODUCT(--(G19&gt;=المساطر!$B$20:$B$29)))</f>
        <v/>
      </c>
      <c r="I19" s="20"/>
      <c r="J19" s="20"/>
      <c r="K19" s="21" t="str">
        <f t="shared" si="1"/>
        <v/>
      </c>
      <c r="L19" s="22" t="str">
        <f>IF(K19="","",SUMPRODUCT(--(K19&gt;=المساطر!$C$20:$C$29)))</f>
        <v/>
      </c>
      <c r="M19" s="20"/>
      <c r="N19" s="20"/>
      <c r="O19" s="21" t="str">
        <f t="shared" si="2"/>
        <v/>
      </c>
      <c r="P19" s="22" t="str">
        <f>IF(O19="","",SUMPRODUCT(--(O19&gt;=المساطر!$D$20:$D$29)))</f>
        <v/>
      </c>
      <c r="Q19" s="20"/>
      <c r="R19" s="20"/>
      <c r="S19" s="21" t="str">
        <f t="shared" si="3"/>
        <v/>
      </c>
      <c r="T19" s="22" t="str">
        <f>IF(S19="","",SUMPRODUCT(--(S19&gt;=المساطر!$E$20:$E$29)))</f>
        <v/>
      </c>
      <c r="U19" s="12"/>
      <c r="V19" s="12"/>
      <c r="W19" s="23" t="str">
        <f t="shared" si="4"/>
        <v/>
      </c>
      <c r="X19" s="22" t="str">
        <f>IF(W19="","",SUMPRODUCT(--(W19&lt;=المساطر!$F$20:$F$29)))</f>
        <v/>
      </c>
      <c r="Y19" s="22" t="str">
        <f t="shared" si="5"/>
        <v/>
      </c>
      <c r="Z19" s="21" t="str">
        <f t="shared" si="6"/>
        <v/>
      </c>
      <c r="AA19" s="4" t="str">
        <f t="shared" si="7"/>
        <v/>
      </c>
      <c r="AB19" s="21" t="str">
        <f t="shared" si="8"/>
        <v/>
      </c>
      <c r="AC19" s="22" t="str">
        <f t="shared" si="9"/>
        <v/>
      </c>
    </row>
    <row r="20" spans="1:29">
      <c r="A20" s="19">
        <v>15</v>
      </c>
      <c r="B20" s="5"/>
      <c r="C20" s="5"/>
      <c r="D20" s="5"/>
      <c r="E20" s="20"/>
      <c r="F20" s="20"/>
      <c r="G20" s="21" t="str">
        <f t="shared" si="0"/>
        <v/>
      </c>
      <c r="H20" s="22" t="str">
        <f>IF(G20="","",SUMPRODUCT(--(G20&gt;=المساطر!$B$20:$B$29)))</f>
        <v/>
      </c>
      <c r="I20" s="20"/>
      <c r="J20" s="20"/>
      <c r="K20" s="21" t="str">
        <f t="shared" si="1"/>
        <v/>
      </c>
      <c r="L20" s="22" t="str">
        <f>IF(K20="","",SUMPRODUCT(--(K20&gt;=المساطر!$C$20:$C$29)))</f>
        <v/>
      </c>
      <c r="M20" s="20"/>
      <c r="N20" s="20"/>
      <c r="O20" s="21" t="str">
        <f t="shared" si="2"/>
        <v/>
      </c>
      <c r="P20" s="22" t="str">
        <f>IF(O20="","",SUMPRODUCT(--(O20&gt;=المساطر!$D$20:$D$29)))</f>
        <v/>
      </c>
      <c r="Q20" s="20"/>
      <c r="R20" s="20"/>
      <c r="S20" s="21" t="str">
        <f t="shared" si="3"/>
        <v/>
      </c>
      <c r="T20" s="22" t="str">
        <f>IF(S20="","",SUMPRODUCT(--(S20&gt;=المساطر!$E$20:$E$29)))</f>
        <v/>
      </c>
      <c r="U20" s="12"/>
      <c r="V20" s="12"/>
      <c r="W20" s="23" t="str">
        <f t="shared" si="4"/>
        <v/>
      </c>
      <c r="X20" s="22" t="str">
        <f>IF(W20="","",SUMPRODUCT(--(W20&lt;=المساطر!$F$20:$F$29)))</f>
        <v/>
      </c>
      <c r="Y20" s="22" t="str">
        <f t="shared" si="5"/>
        <v/>
      </c>
      <c r="Z20" s="21" t="str">
        <f t="shared" si="6"/>
        <v/>
      </c>
      <c r="AA20" s="4" t="str">
        <f t="shared" si="7"/>
        <v/>
      </c>
      <c r="AB20" s="21" t="str">
        <f t="shared" si="8"/>
        <v/>
      </c>
      <c r="AC20" s="22" t="str">
        <f t="shared" si="9"/>
        <v/>
      </c>
    </row>
    <row r="21" spans="1:29">
      <c r="A21" s="19">
        <v>16</v>
      </c>
      <c r="B21" s="5"/>
      <c r="C21" s="5"/>
      <c r="D21" s="5"/>
      <c r="E21" s="20"/>
      <c r="F21" s="20"/>
      <c r="G21" s="21" t="str">
        <f t="shared" si="0"/>
        <v/>
      </c>
      <c r="H21" s="22" t="str">
        <f>IF(G21="","",SUMPRODUCT(--(G21&gt;=المساطر!$B$20:$B$29)))</f>
        <v/>
      </c>
      <c r="I21" s="20"/>
      <c r="J21" s="20"/>
      <c r="K21" s="21" t="str">
        <f t="shared" si="1"/>
        <v/>
      </c>
      <c r="L21" s="22" t="str">
        <f>IF(K21="","",SUMPRODUCT(--(K21&gt;=المساطر!$C$20:$C$29)))</f>
        <v/>
      </c>
      <c r="M21" s="20"/>
      <c r="N21" s="20"/>
      <c r="O21" s="21" t="str">
        <f t="shared" si="2"/>
        <v/>
      </c>
      <c r="P21" s="22" t="str">
        <f>IF(O21="","",SUMPRODUCT(--(O21&gt;=المساطر!$D$20:$D$29)))</f>
        <v/>
      </c>
      <c r="Q21" s="20"/>
      <c r="R21" s="20"/>
      <c r="S21" s="21" t="str">
        <f t="shared" si="3"/>
        <v/>
      </c>
      <c r="T21" s="22" t="str">
        <f>IF(S21="","",SUMPRODUCT(--(S21&gt;=المساطر!$E$20:$E$29)))</f>
        <v/>
      </c>
      <c r="U21" s="12"/>
      <c r="V21" s="12"/>
      <c r="W21" s="23" t="str">
        <f t="shared" si="4"/>
        <v/>
      </c>
      <c r="X21" s="22" t="str">
        <f>IF(W21="","",SUMPRODUCT(--(W21&lt;=المساطر!$F$20:$F$29)))</f>
        <v/>
      </c>
      <c r="Y21" s="22" t="str">
        <f t="shared" si="5"/>
        <v/>
      </c>
      <c r="Z21" s="21" t="str">
        <f t="shared" si="6"/>
        <v/>
      </c>
      <c r="AA21" s="4" t="str">
        <f t="shared" si="7"/>
        <v/>
      </c>
      <c r="AB21" s="21" t="str">
        <f t="shared" si="8"/>
        <v/>
      </c>
      <c r="AC21" s="22" t="str">
        <f t="shared" si="9"/>
        <v/>
      </c>
    </row>
    <row r="22" spans="1:29">
      <c r="A22" s="19">
        <v>17</v>
      </c>
      <c r="B22" s="5"/>
      <c r="C22" s="5"/>
      <c r="D22" s="5"/>
      <c r="E22" s="20"/>
      <c r="F22" s="20"/>
      <c r="G22" s="21" t="str">
        <f t="shared" si="0"/>
        <v/>
      </c>
      <c r="H22" s="22" t="str">
        <f>IF(G22="","",SUMPRODUCT(--(G22&gt;=المساطر!$B$20:$B$29)))</f>
        <v/>
      </c>
      <c r="I22" s="20"/>
      <c r="J22" s="20"/>
      <c r="K22" s="21" t="str">
        <f t="shared" si="1"/>
        <v/>
      </c>
      <c r="L22" s="22" t="str">
        <f>IF(K22="","",SUMPRODUCT(--(K22&gt;=المساطر!$C$20:$C$29)))</f>
        <v/>
      </c>
      <c r="M22" s="20"/>
      <c r="N22" s="20"/>
      <c r="O22" s="21" t="str">
        <f t="shared" si="2"/>
        <v/>
      </c>
      <c r="P22" s="22" t="str">
        <f>IF(O22="","",SUMPRODUCT(--(O22&gt;=المساطر!$D$20:$D$29)))</f>
        <v/>
      </c>
      <c r="Q22" s="20"/>
      <c r="R22" s="20"/>
      <c r="S22" s="21" t="str">
        <f t="shared" si="3"/>
        <v/>
      </c>
      <c r="T22" s="22" t="str">
        <f>IF(S22="","",SUMPRODUCT(--(S22&gt;=المساطر!$E$20:$E$29)))</f>
        <v/>
      </c>
      <c r="U22" s="12"/>
      <c r="V22" s="12"/>
      <c r="W22" s="23" t="str">
        <f t="shared" si="4"/>
        <v/>
      </c>
      <c r="X22" s="22" t="str">
        <f>IF(W22="","",SUMPRODUCT(--(W22&lt;=المساطر!$F$20:$F$29)))</f>
        <v/>
      </c>
      <c r="Y22" s="22" t="str">
        <f t="shared" si="5"/>
        <v/>
      </c>
      <c r="Z22" s="21" t="str">
        <f t="shared" si="6"/>
        <v/>
      </c>
      <c r="AA22" s="4" t="str">
        <f t="shared" si="7"/>
        <v/>
      </c>
      <c r="AB22" s="21" t="str">
        <f t="shared" si="8"/>
        <v/>
      </c>
      <c r="AC22" s="22" t="str">
        <f t="shared" si="9"/>
        <v/>
      </c>
    </row>
    <row r="23" spans="1:29">
      <c r="A23" s="19">
        <v>18</v>
      </c>
      <c r="B23" s="5"/>
      <c r="C23" s="5"/>
      <c r="D23" s="5"/>
      <c r="E23" s="20"/>
      <c r="F23" s="20"/>
      <c r="G23" s="21" t="str">
        <f t="shared" si="0"/>
        <v/>
      </c>
      <c r="H23" s="22" t="str">
        <f>IF(G23="","",SUMPRODUCT(--(G23&gt;=المساطر!$B$20:$B$29)))</f>
        <v/>
      </c>
      <c r="I23" s="20"/>
      <c r="J23" s="20"/>
      <c r="K23" s="21" t="str">
        <f t="shared" si="1"/>
        <v/>
      </c>
      <c r="L23" s="22" t="str">
        <f>IF(K23="","",SUMPRODUCT(--(K23&gt;=المساطر!$C$20:$C$29)))</f>
        <v/>
      </c>
      <c r="M23" s="20"/>
      <c r="N23" s="20"/>
      <c r="O23" s="21" t="str">
        <f t="shared" si="2"/>
        <v/>
      </c>
      <c r="P23" s="22" t="str">
        <f>IF(O23="","",SUMPRODUCT(--(O23&gt;=المساطر!$D$20:$D$29)))</f>
        <v/>
      </c>
      <c r="Q23" s="20"/>
      <c r="R23" s="20"/>
      <c r="S23" s="21" t="str">
        <f t="shared" si="3"/>
        <v/>
      </c>
      <c r="T23" s="22" t="str">
        <f>IF(S23="","",SUMPRODUCT(--(S23&gt;=المساطر!$E$20:$E$29)))</f>
        <v/>
      </c>
      <c r="U23" s="12"/>
      <c r="V23" s="12"/>
      <c r="W23" s="23" t="str">
        <f t="shared" si="4"/>
        <v/>
      </c>
      <c r="X23" s="22" t="str">
        <f>IF(W23="","",SUMPRODUCT(--(W23&lt;=المساطر!$F$20:$F$29)))</f>
        <v/>
      </c>
      <c r="Y23" s="22" t="str">
        <f t="shared" si="5"/>
        <v/>
      </c>
      <c r="Z23" s="21" t="str">
        <f t="shared" si="6"/>
        <v/>
      </c>
      <c r="AA23" s="4" t="str">
        <f t="shared" si="7"/>
        <v/>
      </c>
      <c r="AB23" s="21" t="str">
        <f t="shared" si="8"/>
        <v/>
      </c>
      <c r="AC23" s="22" t="str">
        <f t="shared" si="9"/>
        <v/>
      </c>
    </row>
    <row r="24" spans="1:29">
      <c r="A24" s="19">
        <v>19</v>
      </c>
      <c r="B24" s="5"/>
      <c r="C24" s="5"/>
      <c r="D24" s="5"/>
      <c r="E24" s="20"/>
      <c r="F24" s="20"/>
      <c r="G24" s="21" t="str">
        <f t="shared" si="0"/>
        <v/>
      </c>
      <c r="H24" s="22" t="str">
        <f>IF(G24="","",SUMPRODUCT(--(G24&gt;=المساطر!$B$20:$B$29)))</f>
        <v/>
      </c>
      <c r="I24" s="20"/>
      <c r="J24" s="20"/>
      <c r="K24" s="21" t="str">
        <f t="shared" si="1"/>
        <v/>
      </c>
      <c r="L24" s="22" t="str">
        <f>IF(K24="","",SUMPRODUCT(--(K24&gt;=المساطر!$C$20:$C$29)))</f>
        <v/>
      </c>
      <c r="M24" s="20"/>
      <c r="N24" s="20"/>
      <c r="O24" s="21" t="str">
        <f t="shared" si="2"/>
        <v/>
      </c>
      <c r="P24" s="22" t="str">
        <f>IF(O24="","",SUMPRODUCT(--(O24&gt;=المساطر!$D$20:$D$29)))</f>
        <v/>
      </c>
      <c r="Q24" s="20"/>
      <c r="R24" s="20"/>
      <c r="S24" s="21" t="str">
        <f t="shared" si="3"/>
        <v/>
      </c>
      <c r="T24" s="22" t="str">
        <f>IF(S24="","",SUMPRODUCT(--(S24&gt;=المساطر!$E$20:$E$29)))</f>
        <v/>
      </c>
      <c r="U24" s="12"/>
      <c r="V24" s="12"/>
      <c r="W24" s="23" t="str">
        <f t="shared" si="4"/>
        <v/>
      </c>
      <c r="X24" s="22" t="str">
        <f>IF(W24="","",SUMPRODUCT(--(W24&lt;=المساطر!$F$20:$F$29)))</f>
        <v/>
      </c>
      <c r="Y24" s="22" t="str">
        <f t="shared" si="5"/>
        <v/>
      </c>
      <c r="Z24" s="21" t="str">
        <f t="shared" si="6"/>
        <v/>
      </c>
      <c r="AA24" s="4" t="str">
        <f t="shared" si="7"/>
        <v/>
      </c>
      <c r="AB24" s="21" t="str">
        <f t="shared" si="8"/>
        <v/>
      </c>
      <c r="AC24" s="22" t="str">
        <f t="shared" si="9"/>
        <v/>
      </c>
    </row>
    <row r="25" spans="1:29">
      <c r="A25" s="19">
        <v>20</v>
      </c>
      <c r="B25" s="5"/>
      <c r="C25" s="5"/>
      <c r="D25" s="5"/>
      <c r="E25" s="20"/>
      <c r="F25" s="20"/>
      <c r="G25" s="21" t="str">
        <f t="shared" si="0"/>
        <v/>
      </c>
      <c r="H25" s="22" t="str">
        <f>IF(G25="","",SUMPRODUCT(--(G25&gt;=المساطر!$B$20:$B$29)))</f>
        <v/>
      </c>
      <c r="I25" s="20"/>
      <c r="J25" s="20"/>
      <c r="K25" s="21" t="str">
        <f t="shared" si="1"/>
        <v/>
      </c>
      <c r="L25" s="22" t="str">
        <f>IF(K25="","",SUMPRODUCT(--(K25&gt;=المساطر!$C$20:$C$29)))</f>
        <v/>
      </c>
      <c r="M25" s="20"/>
      <c r="N25" s="20"/>
      <c r="O25" s="21" t="str">
        <f t="shared" si="2"/>
        <v/>
      </c>
      <c r="P25" s="22" t="str">
        <f>IF(O25="","",SUMPRODUCT(--(O25&gt;=المساطر!$D$20:$D$29)))</f>
        <v/>
      </c>
      <c r="Q25" s="20"/>
      <c r="R25" s="20"/>
      <c r="S25" s="21" t="str">
        <f t="shared" si="3"/>
        <v/>
      </c>
      <c r="T25" s="22" t="str">
        <f>IF(S25="","",SUMPRODUCT(--(S25&gt;=المساطر!$E$20:$E$29)))</f>
        <v/>
      </c>
      <c r="U25" s="12"/>
      <c r="V25" s="12"/>
      <c r="W25" s="23" t="str">
        <f t="shared" si="4"/>
        <v/>
      </c>
      <c r="X25" s="22" t="str">
        <f>IF(W25="","",SUMPRODUCT(--(W25&lt;=المساطر!$F$20:$F$29)))</f>
        <v/>
      </c>
      <c r="Y25" s="22" t="str">
        <f t="shared" si="5"/>
        <v/>
      </c>
      <c r="Z25" s="21" t="str">
        <f t="shared" si="6"/>
        <v/>
      </c>
      <c r="AA25" s="4" t="str">
        <f t="shared" si="7"/>
        <v/>
      </c>
      <c r="AB25" s="21" t="str">
        <f t="shared" si="8"/>
        <v/>
      </c>
      <c r="AC25" s="22" t="str">
        <f t="shared" si="9"/>
        <v/>
      </c>
    </row>
    <row r="26" spans="1:29">
      <c r="A26" s="19">
        <v>21</v>
      </c>
      <c r="B26" s="5"/>
      <c r="C26" s="5"/>
      <c r="D26" s="5"/>
      <c r="E26" s="20"/>
      <c r="F26" s="20"/>
      <c r="G26" s="21" t="str">
        <f t="shared" si="0"/>
        <v/>
      </c>
      <c r="H26" s="22" t="str">
        <f>IF(G26="","",SUMPRODUCT(--(G26&gt;=المساطر!$B$20:$B$29)))</f>
        <v/>
      </c>
      <c r="I26" s="20"/>
      <c r="J26" s="20"/>
      <c r="K26" s="21" t="str">
        <f t="shared" si="1"/>
        <v/>
      </c>
      <c r="L26" s="22" t="str">
        <f>IF(K26="","",SUMPRODUCT(--(K26&gt;=المساطر!$C$20:$C$29)))</f>
        <v/>
      </c>
      <c r="M26" s="20"/>
      <c r="N26" s="20"/>
      <c r="O26" s="21" t="str">
        <f t="shared" si="2"/>
        <v/>
      </c>
      <c r="P26" s="22" t="str">
        <f>IF(O26="","",SUMPRODUCT(--(O26&gt;=المساطر!$D$20:$D$29)))</f>
        <v/>
      </c>
      <c r="Q26" s="20"/>
      <c r="R26" s="20"/>
      <c r="S26" s="21" t="str">
        <f t="shared" si="3"/>
        <v/>
      </c>
      <c r="T26" s="22" t="str">
        <f>IF(S26="","",SUMPRODUCT(--(S26&gt;=المساطر!$E$20:$E$29)))</f>
        <v/>
      </c>
      <c r="U26" s="12"/>
      <c r="V26" s="12"/>
      <c r="W26" s="23" t="str">
        <f t="shared" si="4"/>
        <v/>
      </c>
      <c r="X26" s="22" t="str">
        <f>IF(W26="","",SUMPRODUCT(--(W26&lt;=المساطر!$F$20:$F$29)))</f>
        <v/>
      </c>
      <c r="Y26" s="22" t="str">
        <f t="shared" si="5"/>
        <v/>
      </c>
      <c r="Z26" s="21" t="str">
        <f t="shared" si="6"/>
        <v/>
      </c>
      <c r="AA26" s="4" t="str">
        <f t="shared" si="7"/>
        <v/>
      </c>
      <c r="AB26" s="21" t="str">
        <f t="shared" si="8"/>
        <v/>
      </c>
      <c r="AC26" s="22" t="str">
        <f t="shared" si="9"/>
        <v/>
      </c>
    </row>
    <row r="27" spans="1:29">
      <c r="A27" s="19">
        <v>22</v>
      </c>
      <c r="B27" s="5"/>
      <c r="C27" s="5"/>
      <c r="D27" s="5"/>
      <c r="E27" s="20"/>
      <c r="F27" s="20"/>
      <c r="G27" s="21" t="str">
        <f t="shared" si="0"/>
        <v/>
      </c>
      <c r="H27" s="22" t="str">
        <f>IF(G27="","",SUMPRODUCT(--(G27&gt;=المساطر!$B$20:$B$29)))</f>
        <v/>
      </c>
      <c r="I27" s="20"/>
      <c r="J27" s="20"/>
      <c r="K27" s="21" t="str">
        <f t="shared" si="1"/>
        <v/>
      </c>
      <c r="L27" s="22" t="str">
        <f>IF(K27="","",SUMPRODUCT(--(K27&gt;=المساطر!$C$20:$C$29)))</f>
        <v/>
      </c>
      <c r="M27" s="20"/>
      <c r="N27" s="20"/>
      <c r="O27" s="21" t="str">
        <f t="shared" si="2"/>
        <v/>
      </c>
      <c r="P27" s="22" t="str">
        <f>IF(O27="","",SUMPRODUCT(--(O27&gt;=المساطر!$D$20:$D$29)))</f>
        <v/>
      </c>
      <c r="Q27" s="20"/>
      <c r="R27" s="20"/>
      <c r="S27" s="21" t="str">
        <f t="shared" si="3"/>
        <v/>
      </c>
      <c r="T27" s="22" t="str">
        <f>IF(S27="","",SUMPRODUCT(--(S27&gt;=المساطر!$E$20:$E$29)))</f>
        <v/>
      </c>
      <c r="U27" s="12"/>
      <c r="V27" s="12"/>
      <c r="W27" s="23" t="str">
        <f t="shared" si="4"/>
        <v/>
      </c>
      <c r="X27" s="22" t="str">
        <f>IF(W27="","",SUMPRODUCT(--(W27&lt;=المساطر!$F$20:$F$29)))</f>
        <v/>
      </c>
      <c r="Y27" s="22" t="str">
        <f t="shared" si="5"/>
        <v/>
      </c>
      <c r="Z27" s="21" t="str">
        <f t="shared" si="6"/>
        <v/>
      </c>
      <c r="AA27" s="4" t="str">
        <f t="shared" si="7"/>
        <v/>
      </c>
      <c r="AB27" s="21" t="str">
        <f t="shared" si="8"/>
        <v/>
      </c>
      <c r="AC27" s="22" t="str">
        <f t="shared" si="9"/>
        <v/>
      </c>
    </row>
    <row r="28" spans="1:29">
      <c r="A28" s="19">
        <v>23</v>
      </c>
      <c r="B28" s="5"/>
      <c r="C28" s="5"/>
      <c r="D28" s="5"/>
      <c r="E28" s="20"/>
      <c r="F28" s="20"/>
      <c r="G28" s="21" t="str">
        <f t="shared" si="0"/>
        <v/>
      </c>
      <c r="H28" s="22" t="str">
        <f>IF(G28="","",SUMPRODUCT(--(G28&gt;=المساطر!$B$20:$B$29)))</f>
        <v/>
      </c>
      <c r="I28" s="20"/>
      <c r="J28" s="20"/>
      <c r="K28" s="21" t="str">
        <f t="shared" si="1"/>
        <v/>
      </c>
      <c r="L28" s="22" t="str">
        <f>IF(K28="","",SUMPRODUCT(--(K28&gt;=المساطر!$C$20:$C$29)))</f>
        <v/>
      </c>
      <c r="M28" s="20"/>
      <c r="N28" s="20"/>
      <c r="O28" s="21" t="str">
        <f t="shared" si="2"/>
        <v/>
      </c>
      <c r="P28" s="22" t="str">
        <f>IF(O28="","",SUMPRODUCT(--(O28&gt;=المساطر!$D$20:$D$29)))</f>
        <v/>
      </c>
      <c r="Q28" s="20"/>
      <c r="R28" s="20"/>
      <c r="S28" s="21" t="str">
        <f t="shared" si="3"/>
        <v/>
      </c>
      <c r="T28" s="22" t="str">
        <f>IF(S28="","",SUMPRODUCT(--(S28&gt;=المساطر!$E$20:$E$29)))</f>
        <v/>
      </c>
      <c r="U28" s="12"/>
      <c r="V28" s="12"/>
      <c r="W28" s="23" t="str">
        <f t="shared" si="4"/>
        <v/>
      </c>
      <c r="X28" s="22" t="str">
        <f>IF(W28="","",SUMPRODUCT(--(W28&lt;=المساطر!$F$20:$F$29)))</f>
        <v/>
      </c>
      <c r="Y28" s="22" t="str">
        <f t="shared" si="5"/>
        <v/>
      </c>
      <c r="Z28" s="21" t="str">
        <f t="shared" si="6"/>
        <v/>
      </c>
      <c r="AA28" s="4" t="str">
        <f t="shared" si="7"/>
        <v/>
      </c>
      <c r="AB28" s="21" t="str">
        <f t="shared" si="8"/>
        <v/>
      </c>
      <c r="AC28" s="22" t="str">
        <f t="shared" si="9"/>
        <v/>
      </c>
    </row>
    <row r="29" spans="1:29">
      <c r="A29" s="19">
        <v>24</v>
      </c>
      <c r="B29" s="5"/>
      <c r="C29" s="5"/>
      <c r="D29" s="5"/>
      <c r="E29" s="20"/>
      <c r="F29" s="20"/>
      <c r="G29" s="21" t="str">
        <f t="shared" si="0"/>
        <v/>
      </c>
      <c r="H29" s="22" t="str">
        <f>IF(G29="","",SUMPRODUCT(--(G29&gt;=المساطر!$B$20:$B$29)))</f>
        <v/>
      </c>
      <c r="I29" s="20"/>
      <c r="J29" s="20"/>
      <c r="K29" s="21" t="str">
        <f t="shared" si="1"/>
        <v/>
      </c>
      <c r="L29" s="22" t="str">
        <f>IF(K29="","",SUMPRODUCT(--(K29&gt;=المساطر!$C$20:$C$29)))</f>
        <v/>
      </c>
      <c r="M29" s="20"/>
      <c r="N29" s="20"/>
      <c r="O29" s="21" t="str">
        <f t="shared" si="2"/>
        <v/>
      </c>
      <c r="P29" s="22" t="str">
        <f>IF(O29="","",SUMPRODUCT(--(O29&gt;=المساطر!$D$20:$D$29)))</f>
        <v/>
      </c>
      <c r="Q29" s="20"/>
      <c r="R29" s="20"/>
      <c r="S29" s="21" t="str">
        <f t="shared" si="3"/>
        <v/>
      </c>
      <c r="T29" s="22" t="str">
        <f>IF(S29="","",SUMPRODUCT(--(S29&gt;=المساطر!$E$20:$E$29)))</f>
        <v/>
      </c>
      <c r="U29" s="12"/>
      <c r="V29" s="12"/>
      <c r="W29" s="23" t="str">
        <f t="shared" si="4"/>
        <v/>
      </c>
      <c r="X29" s="22" t="str">
        <f>IF(W29="","",SUMPRODUCT(--(W29&lt;=المساطر!$F$20:$F$29)))</f>
        <v/>
      </c>
      <c r="Y29" s="22" t="str">
        <f t="shared" si="5"/>
        <v/>
      </c>
      <c r="Z29" s="21" t="str">
        <f t="shared" si="6"/>
        <v/>
      </c>
      <c r="AA29" s="4" t="str">
        <f t="shared" si="7"/>
        <v/>
      </c>
      <c r="AB29" s="21" t="str">
        <f t="shared" si="8"/>
        <v/>
      </c>
      <c r="AC29" s="22" t="str">
        <f t="shared" si="9"/>
        <v/>
      </c>
    </row>
    <row r="30" spans="1:29">
      <c r="A30" s="19">
        <v>25</v>
      </c>
      <c r="B30" s="5"/>
      <c r="C30" s="5"/>
      <c r="D30" s="5"/>
      <c r="E30" s="20"/>
      <c r="F30" s="20"/>
      <c r="G30" s="21" t="str">
        <f t="shared" si="0"/>
        <v/>
      </c>
      <c r="H30" s="22" t="str">
        <f>IF(G30="","",SUMPRODUCT(--(G30&gt;=المساطر!$B$20:$B$29)))</f>
        <v/>
      </c>
      <c r="I30" s="20"/>
      <c r="J30" s="20"/>
      <c r="K30" s="21" t="str">
        <f t="shared" si="1"/>
        <v/>
      </c>
      <c r="L30" s="22" t="str">
        <f>IF(K30="","",SUMPRODUCT(--(K30&gt;=المساطر!$C$20:$C$29)))</f>
        <v/>
      </c>
      <c r="M30" s="20"/>
      <c r="N30" s="20"/>
      <c r="O30" s="21" t="str">
        <f t="shared" si="2"/>
        <v/>
      </c>
      <c r="P30" s="22" t="str">
        <f>IF(O30="","",SUMPRODUCT(--(O30&gt;=المساطر!$D$20:$D$29)))</f>
        <v/>
      </c>
      <c r="Q30" s="20"/>
      <c r="R30" s="20"/>
      <c r="S30" s="21" t="str">
        <f t="shared" si="3"/>
        <v/>
      </c>
      <c r="T30" s="22" t="str">
        <f>IF(S30="","",SUMPRODUCT(--(S30&gt;=المساطر!$E$20:$E$29)))</f>
        <v/>
      </c>
      <c r="U30" s="12"/>
      <c r="V30" s="12"/>
      <c r="W30" s="23" t="str">
        <f t="shared" si="4"/>
        <v/>
      </c>
      <c r="X30" s="22" t="str">
        <f>IF(W30="","",SUMPRODUCT(--(W30&lt;=المساطر!$F$20:$F$29)))</f>
        <v/>
      </c>
      <c r="Y30" s="22" t="str">
        <f t="shared" si="5"/>
        <v/>
      </c>
      <c r="Z30" s="21" t="str">
        <f t="shared" si="6"/>
        <v/>
      </c>
      <c r="AA30" s="4" t="str">
        <f t="shared" si="7"/>
        <v/>
      </c>
      <c r="AB30" s="21" t="str">
        <f t="shared" si="8"/>
        <v/>
      </c>
      <c r="AC30" s="22" t="str">
        <f t="shared" si="9"/>
        <v/>
      </c>
    </row>
    <row r="31" spans="1:29">
      <c r="A31" s="19">
        <v>26</v>
      </c>
      <c r="B31" s="5"/>
      <c r="C31" s="5"/>
      <c r="D31" s="5"/>
      <c r="E31" s="20"/>
      <c r="F31" s="20"/>
      <c r="G31" s="21" t="str">
        <f t="shared" si="0"/>
        <v/>
      </c>
      <c r="H31" s="22" t="str">
        <f>IF(G31="","",SUMPRODUCT(--(G31&gt;=المساطر!$B$20:$B$29)))</f>
        <v/>
      </c>
      <c r="I31" s="20"/>
      <c r="J31" s="20"/>
      <c r="K31" s="21" t="str">
        <f t="shared" si="1"/>
        <v/>
      </c>
      <c r="L31" s="22" t="str">
        <f>IF(K31="","",SUMPRODUCT(--(K31&gt;=المساطر!$C$20:$C$29)))</f>
        <v/>
      </c>
      <c r="M31" s="20"/>
      <c r="N31" s="20"/>
      <c r="O31" s="21" t="str">
        <f t="shared" si="2"/>
        <v/>
      </c>
      <c r="P31" s="22" t="str">
        <f>IF(O31="","",SUMPRODUCT(--(O31&gt;=المساطر!$D$20:$D$29)))</f>
        <v/>
      </c>
      <c r="Q31" s="20"/>
      <c r="R31" s="20"/>
      <c r="S31" s="21" t="str">
        <f t="shared" si="3"/>
        <v/>
      </c>
      <c r="T31" s="22" t="str">
        <f>IF(S31="","",SUMPRODUCT(--(S31&gt;=المساطر!$E$20:$E$29)))</f>
        <v/>
      </c>
      <c r="U31" s="12"/>
      <c r="V31" s="12"/>
      <c r="W31" s="23" t="str">
        <f t="shared" si="4"/>
        <v/>
      </c>
      <c r="X31" s="22" t="str">
        <f>IF(W31="","",SUMPRODUCT(--(W31&lt;=المساطر!$F$20:$F$29)))</f>
        <v/>
      </c>
      <c r="Y31" s="22" t="str">
        <f t="shared" si="5"/>
        <v/>
      </c>
      <c r="Z31" s="21" t="str">
        <f t="shared" si="6"/>
        <v/>
      </c>
      <c r="AA31" s="4" t="str">
        <f t="shared" si="7"/>
        <v/>
      </c>
      <c r="AB31" s="21" t="str">
        <f t="shared" si="8"/>
        <v/>
      </c>
      <c r="AC31" s="22" t="str">
        <f t="shared" si="9"/>
        <v/>
      </c>
    </row>
    <row r="32" spans="1:29">
      <c r="A32" s="19">
        <v>27</v>
      </c>
      <c r="B32" s="5"/>
      <c r="C32" s="5"/>
      <c r="D32" s="5"/>
      <c r="E32" s="20"/>
      <c r="F32" s="20"/>
      <c r="G32" s="21" t="str">
        <f t="shared" si="0"/>
        <v/>
      </c>
      <c r="H32" s="22" t="str">
        <f>IF(G32="","",SUMPRODUCT(--(G32&gt;=المساطر!$B$20:$B$29)))</f>
        <v/>
      </c>
      <c r="I32" s="20"/>
      <c r="J32" s="20"/>
      <c r="K32" s="21" t="str">
        <f t="shared" si="1"/>
        <v/>
      </c>
      <c r="L32" s="22" t="str">
        <f>IF(K32="","",SUMPRODUCT(--(K32&gt;=المساطر!$C$20:$C$29)))</f>
        <v/>
      </c>
      <c r="M32" s="20"/>
      <c r="N32" s="20"/>
      <c r="O32" s="21" t="str">
        <f t="shared" si="2"/>
        <v/>
      </c>
      <c r="P32" s="22" t="str">
        <f>IF(O32="","",SUMPRODUCT(--(O32&gt;=المساطر!$D$20:$D$29)))</f>
        <v/>
      </c>
      <c r="Q32" s="20"/>
      <c r="R32" s="20"/>
      <c r="S32" s="21" t="str">
        <f t="shared" si="3"/>
        <v/>
      </c>
      <c r="T32" s="22" t="str">
        <f>IF(S32="","",SUMPRODUCT(--(S32&gt;=المساطر!$E$20:$E$29)))</f>
        <v/>
      </c>
      <c r="U32" s="12"/>
      <c r="V32" s="12"/>
      <c r="W32" s="23" t="str">
        <f t="shared" si="4"/>
        <v/>
      </c>
      <c r="X32" s="22" t="str">
        <f>IF(W32="","",SUMPRODUCT(--(W32&lt;=المساطر!$F$20:$F$29)))</f>
        <v/>
      </c>
      <c r="Y32" s="22" t="str">
        <f t="shared" si="5"/>
        <v/>
      </c>
      <c r="Z32" s="21" t="str">
        <f t="shared" si="6"/>
        <v/>
      </c>
      <c r="AA32" s="4" t="str">
        <f t="shared" si="7"/>
        <v/>
      </c>
      <c r="AB32" s="21" t="str">
        <f t="shared" si="8"/>
        <v/>
      </c>
      <c r="AC32" s="22" t="str">
        <f t="shared" si="9"/>
        <v/>
      </c>
    </row>
    <row r="33" spans="1:30">
      <c r="A33" s="19">
        <v>28</v>
      </c>
      <c r="B33" s="5"/>
      <c r="C33" s="5"/>
      <c r="D33" s="5"/>
      <c r="E33" s="20"/>
      <c r="F33" s="20"/>
      <c r="G33" s="21" t="str">
        <f t="shared" si="0"/>
        <v/>
      </c>
      <c r="H33" s="22" t="str">
        <f>IF(G33="","",SUMPRODUCT(--(G33&gt;=المساطر!$B$20:$B$29)))</f>
        <v/>
      </c>
      <c r="I33" s="20"/>
      <c r="J33" s="20"/>
      <c r="K33" s="21" t="str">
        <f t="shared" si="1"/>
        <v/>
      </c>
      <c r="L33" s="22" t="str">
        <f>IF(K33="","",SUMPRODUCT(--(K33&gt;=المساطر!$C$20:$C$29)))</f>
        <v/>
      </c>
      <c r="M33" s="20"/>
      <c r="N33" s="20"/>
      <c r="O33" s="21" t="str">
        <f t="shared" si="2"/>
        <v/>
      </c>
      <c r="P33" s="22" t="str">
        <f>IF(O33="","",SUMPRODUCT(--(O33&gt;=المساطر!$D$20:$D$29)))</f>
        <v/>
      </c>
      <c r="Q33" s="20"/>
      <c r="R33" s="20"/>
      <c r="S33" s="21" t="str">
        <f t="shared" si="3"/>
        <v/>
      </c>
      <c r="T33" s="22" t="str">
        <f>IF(S33="","",SUMPRODUCT(--(S33&gt;=المساطر!$E$20:$E$29)))</f>
        <v/>
      </c>
      <c r="U33" s="12"/>
      <c r="V33" s="12"/>
      <c r="W33" s="23" t="str">
        <f t="shared" si="4"/>
        <v/>
      </c>
      <c r="X33" s="22" t="str">
        <f>IF(W33="","",SUMPRODUCT(--(W33&lt;=المساطر!$F$20:$F$29)))</f>
        <v/>
      </c>
      <c r="Y33" s="22" t="str">
        <f t="shared" si="5"/>
        <v/>
      </c>
      <c r="Z33" s="21" t="str">
        <f t="shared" si="6"/>
        <v/>
      </c>
      <c r="AA33" s="4" t="str">
        <f t="shared" si="7"/>
        <v/>
      </c>
      <c r="AB33" s="21" t="str">
        <f t="shared" si="8"/>
        <v/>
      </c>
      <c r="AC33" s="22" t="str">
        <f t="shared" si="9"/>
        <v/>
      </c>
    </row>
    <row r="34" spans="1:30">
      <c r="A34" s="19">
        <v>29</v>
      </c>
      <c r="B34" s="5"/>
      <c r="C34" s="5"/>
      <c r="D34" s="5"/>
      <c r="E34" s="20"/>
      <c r="F34" s="20"/>
      <c r="G34" s="21" t="str">
        <f t="shared" si="0"/>
        <v/>
      </c>
      <c r="H34" s="22" t="str">
        <f>IF(G34="","",SUMPRODUCT(--(G34&gt;=المساطر!$B$20:$B$29)))</f>
        <v/>
      </c>
      <c r="I34" s="20"/>
      <c r="J34" s="20"/>
      <c r="K34" s="21" t="str">
        <f t="shared" si="1"/>
        <v/>
      </c>
      <c r="L34" s="22" t="str">
        <f>IF(K34="","",SUMPRODUCT(--(K34&gt;=المساطر!$C$20:$C$29)))</f>
        <v/>
      </c>
      <c r="M34" s="20"/>
      <c r="N34" s="20"/>
      <c r="O34" s="21" t="str">
        <f t="shared" si="2"/>
        <v/>
      </c>
      <c r="P34" s="22" t="str">
        <f>IF(O34="","",SUMPRODUCT(--(O34&gt;=المساطر!$D$20:$D$29)))</f>
        <v/>
      </c>
      <c r="Q34" s="20"/>
      <c r="R34" s="20"/>
      <c r="S34" s="21" t="str">
        <f t="shared" si="3"/>
        <v/>
      </c>
      <c r="T34" s="22" t="str">
        <f>IF(S34="","",SUMPRODUCT(--(S34&gt;=المساطر!$E$20:$E$29)))</f>
        <v/>
      </c>
      <c r="U34" s="12"/>
      <c r="V34" s="12"/>
      <c r="W34" s="23" t="str">
        <f t="shared" si="4"/>
        <v/>
      </c>
      <c r="X34" s="22" t="str">
        <f>IF(W34="","",SUMPRODUCT(--(W34&lt;=المساطر!$F$20:$F$29)))</f>
        <v/>
      </c>
      <c r="Y34" s="22" t="str">
        <f t="shared" si="5"/>
        <v/>
      </c>
      <c r="Z34" s="21" t="str">
        <f t="shared" si="6"/>
        <v/>
      </c>
      <c r="AA34" s="4" t="str">
        <f t="shared" si="7"/>
        <v/>
      </c>
      <c r="AB34" s="21" t="str">
        <f t="shared" si="8"/>
        <v/>
      </c>
      <c r="AC34" s="22" t="str">
        <f t="shared" si="9"/>
        <v/>
      </c>
    </row>
    <row r="35" spans="1:30">
      <c r="A35" s="19">
        <v>30</v>
      </c>
      <c r="B35" s="5"/>
      <c r="C35" s="5"/>
      <c r="D35" s="5"/>
      <c r="E35" s="20"/>
      <c r="F35" s="20"/>
      <c r="G35" s="21" t="str">
        <f t="shared" si="0"/>
        <v/>
      </c>
      <c r="H35" s="22" t="str">
        <f>IF(G35="","",SUMPRODUCT(--(G35&gt;=المساطر!$B$20:$B$29)))</f>
        <v/>
      </c>
      <c r="I35" s="20"/>
      <c r="J35" s="20"/>
      <c r="K35" s="21" t="str">
        <f t="shared" si="1"/>
        <v/>
      </c>
      <c r="L35" s="22" t="str">
        <f>IF(K35="","",SUMPRODUCT(--(K35&gt;=المساطر!$C$20:$C$29)))</f>
        <v/>
      </c>
      <c r="M35" s="20"/>
      <c r="N35" s="20"/>
      <c r="O35" s="21" t="str">
        <f t="shared" si="2"/>
        <v/>
      </c>
      <c r="P35" s="22" t="str">
        <f>IF(O35="","",SUMPRODUCT(--(O35&gt;=المساطر!$D$20:$D$29)))</f>
        <v/>
      </c>
      <c r="Q35" s="20"/>
      <c r="R35" s="20"/>
      <c r="S35" s="21" t="str">
        <f t="shared" si="3"/>
        <v/>
      </c>
      <c r="T35" s="22" t="str">
        <f>IF(S35="","",SUMPRODUCT(--(S35&gt;=المساطر!$E$20:$E$29)))</f>
        <v/>
      </c>
      <c r="U35" s="12"/>
      <c r="V35" s="12"/>
      <c r="W35" s="23" t="str">
        <f t="shared" si="4"/>
        <v/>
      </c>
      <c r="X35" s="22" t="str">
        <f>IF(W35="","",SUMPRODUCT(--(W35&lt;=المساطر!$F$20:$F$29)))</f>
        <v/>
      </c>
      <c r="Y35" s="22" t="str">
        <f t="shared" si="5"/>
        <v/>
      </c>
      <c r="Z35" s="21" t="str">
        <f t="shared" si="6"/>
        <v/>
      </c>
      <c r="AA35" s="4" t="str">
        <f t="shared" si="7"/>
        <v/>
      </c>
      <c r="AB35" s="21" t="str">
        <f t="shared" si="8"/>
        <v/>
      </c>
      <c r="AC35" s="22" t="str">
        <f t="shared" si="9"/>
        <v/>
      </c>
    </row>
    <row r="36" spans="1:30">
      <c r="A36" s="19">
        <v>31</v>
      </c>
      <c r="B36" s="5"/>
      <c r="C36" s="5"/>
      <c r="D36" s="5"/>
      <c r="E36" s="20"/>
      <c r="F36" s="20"/>
      <c r="G36" s="21" t="str">
        <f t="shared" si="0"/>
        <v/>
      </c>
      <c r="H36" s="22" t="str">
        <f>IF(G36="","",SUMPRODUCT(--(G36&gt;=المساطر!$B$20:$B$29)))</f>
        <v/>
      </c>
      <c r="I36" s="20"/>
      <c r="J36" s="20"/>
      <c r="K36" s="21" t="str">
        <f t="shared" si="1"/>
        <v/>
      </c>
      <c r="L36" s="22" t="str">
        <f>IF(K36="","",SUMPRODUCT(--(K36&gt;=المساطر!$C$20:$C$29)))</f>
        <v/>
      </c>
      <c r="M36" s="20"/>
      <c r="N36" s="20"/>
      <c r="O36" s="21" t="str">
        <f t="shared" si="2"/>
        <v/>
      </c>
      <c r="P36" s="22" t="str">
        <f>IF(O36="","",SUMPRODUCT(--(O36&gt;=المساطر!$D$20:$D$29)))</f>
        <v/>
      </c>
      <c r="Q36" s="20"/>
      <c r="R36" s="20"/>
      <c r="S36" s="21" t="str">
        <f t="shared" si="3"/>
        <v/>
      </c>
      <c r="T36" s="22" t="str">
        <f>IF(S36="","",SUMPRODUCT(--(S36&gt;=المساطر!$E$20:$E$29)))</f>
        <v/>
      </c>
      <c r="U36" s="12"/>
      <c r="V36" s="12"/>
      <c r="W36" s="23" t="str">
        <f t="shared" si="4"/>
        <v/>
      </c>
      <c r="X36" s="22" t="str">
        <f>IF(W36="","",SUMPRODUCT(--(W36&lt;=المساطر!$F$20:$F$29)))</f>
        <v/>
      </c>
      <c r="Y36" s="22" t="str">
        <f t="shared" si="5"/>
        <v/>
      </c>
      <c r="Z36" s="21" t="str">
        <f t="shared" si="6"/>
        <v/>
      </c>
      <c r="AA36" s="4" t="str">
        <f t="shared" si="7"/>
        <v/>
      </c>
      <c r="AB36" s="21" t="str">
        <f t="shared" si="8"/>
        <v/>
      </c>
      <c r="AC36" s="22" t="str">
        <f t="shared" si="9"/>
        <v/>
      </c>
    </row>
    <row r="37" spans="1:30">
      <c r="A37" s="19">
        <v>32</v>
      </c>
      <c r="B37" s="5"/>
      <c r="C37" s="5"/>
      <c r="D37" s="5"/>
      <c r="E37" s="20"/>
      <c r="F37" s="20"/>
      <c r="G37" s="21" t="str">
        <f t="shared" si="0"/>
        <v/>
      </c>
      <c r="H37" s="22" t="str">
        <f>IF(G37="","",SUMPRODUCT(--(G37&gt;=المساطر!$B$20:$B$29)))</f>
        <v/>
      </c>
      <c r="I37" s="20"/>
      <c r="J37" s="20"/>
      <c r="K37" s="21" t="str">
        <f t="shared" si="1"/>
        <v/>
      </c>
      <c r="L37" s="22" t="str">
        <f>IF(K37="","",SUMPRODUCT(--(K37&gt;=المساطر!$C$20:$C$29)))</f>
        <v/>
      </c>
      <c r="M37" s="20"/>
      <c r="N37" s="20"/>
      <c r="O37" s="21" t="str">
        <f t="shared" si="2"/>
        <v/>
      </c>
      <c r="P37" s="22" t="str">
        <f>IF(O37="","",SUMPRODUCT(--(O37&gt;=المساطر!$D$20:$D$29)))</f>
        <v/>
      </c>
      <c r="Q37" s="20"/>
      <c r="R37" s="20"/>
      <c r="S37" s="21" t="str">
        <f t="shared" si="3"/>
        <v/>
      </c>
      <c r="T37" s="22" t="str">
        <f>IF(S37="","",SUMPRODUCT(--(S37&gt;=المساطر!$E$20:$E$29)))</f>
        <v/>
      </c>
      <c r="U37" s="12"/>
      <c r="V37" s="12"/>
      <c r="W37" s="23" t="str">
        <f t="shared" si="4"/>
        <v/>
      </c>
      <c r="X37" s="22" t="str">
        <f>IF(W37="","",SUMPRODUCT(--(W37&lt;=المساطر!$F$20:$F$29)))</f>
        <v/>
      </c>
      <c r="Y37" s="22" t="str">
        <f t="shared" si="5"/>
        <v/>
      </c>
      <c r="Z37" s="21" t="str">
        <f t="shared" si="6"/>
        <v/>
      </c>
      <c r="AA37" s="4" t="str">
        <f t="shared" si="7"/>
        <v/>
      </c>
      <c r="AB37" s="21" t="str">
        <f t="shared" si="8"/>
        <v/>
      </c>
      <c r="AC37" s="22" t="str">
        <f t="shared" si="9"/>
        <v/>
      </c>
    </row>
    <row r="38" spans="1:30">
      <c r="A38" s="19">
        <v>33</v>
      </c>
      <c r="B38" s="5"/>
      <c r="C38" s="5"/>
      <c r="D38" s="5"/>
      <c r="E38" s="20"/>
      <c r="F38" s="20"/>
      <c r="G38" s="21" t="str">
        <f t="shared" si="0"/>
        <v/>
      </c>
      <c r="H38" s="22" t="str">
        <f>IF(G38="","",SUMPRODUCT(--(G38&gt;=المساطر!$B$20:$B$29)))</f>
        <v/>
      </c>
      <c r="I38" s="20"/>
      <c r="J38" s="20"/>
      <c r="K38" s="21" t="str">
        <f t="shared" si="1"/>
        <v/>
      </c>
      <c r="L38" s="22" t="str">
        <f>IF(K38="","",SUMPRODUCT(--(K38&gt;=المساطر!$C$20:$C$29)))</f>
        <v/>
      </c>
      <c r="M38" s="20"/>
      <c r="N38" s="20"/>
      <c r="O38" s="21" t="str">
        <f t="shared" si="2"/>
        <v/>
      </c>
      <c r="P38" s="22" t="str">
        <f>IF(O38="","",SUMPRODUCT(--(O38&gt;=المساطر!$D$20:$D$29)))</f>
        <v/>
      </c>
      <c r="Q38" s="20"/>
      <c r="R38" s="20"/>
      <c r="S38" s="21" t="str">
        <f t="shared" si="3"/>
        <v/>
      </c>
      <c r="T38" s="22" t="str">
        <f>IF(S38="","",SUMPRODUCT(--(S38&gt;=المساطر!$E$20:$E$29)))</f>
        <v/>
      </c>
      <c r="U38" s="12"/>
      <c r="V38" s="12"/>
      <c r="W38" s="23" t="str">
        <f t="shared" si="4"/>
        <v/>
      </c>
      <c r="X38" s="22" t="str">
        <f>IF(W38="","",SUMPRODUCT(--(W38&lt;=المساطر!$F$20:$F$29)))</f>
        <v/>
      </c>
      <c r="Y38" s="22" t="str">
        <f t="shared" si="5"/>
        <v/>
      </c>
      <c r="Z38" s="21" t="str">
        <f t="shared" si="6"/>
        <v/>
      </c>
      <c r="AA38" s="4" t="str">
        <f t="shared" si="7"/>
        <v/>
      </c>
      <c r="AB38" s="21" t="str">
        <f t="shared" si="8"/>
        <v/>
      </c>
      <c r="AC38" s="22" t="str">
        <f t="shared" si="9"/>
        <v/>
      </c>
    </row>
    <row r="39" spans="1:30">
      <c r="A39" s="19">
        <v>34</v>
      </c>
      <c r="B39" s="5"/>
      <c r="C39" s="5"/>
      <c r="D39" s="5"/>
      <c r="E39" s="20"/>
      <c r="F39" s="20"/>
      <c r="G39" s="21" t="str">
        <f t="shared" si="0"/>
        <v/>
      </c>
      <c r="H39" s="22" t="str">
        <f>IF(G39="","",SUMPRODUCT(--(G39&gt;=المساطر!$B$20:$B$29)))</f>
        <v/>
      </c>
      <c r="I39" s="20"/>
      <c r="J39" s="20"/>
      <c r="K39" s="21" t="str">
        <f t="shared" si="1"/>
        <v/>
      </c>
      <c r="L39" s="22" t="str">
        <f>IF(K39="","",SUMPRODUCT(--(K39&gt;=المساطر!$C$20:$C$29)))</f>
        <v/>
      </c>
      <c r="M39" s="20"/>
      <c r="N39" s="20"/>
      <c r="O39" s="21" t="str">
        <f t="shared" si="2"/>
        <v/>
      </c>
      <c r="P39" s="22" t="str">
        <f>IF(O39="","",SUMPRODUCT(--(O39&gt;=المساطر!$D$20:$D$29)))</f>
        <v/>
      </c>
      <c r="Q39" s="20"/>
      <c r="R39" s="20"/>
      <c r="S39" s="21" t="str">
        <f t="shared" si="3"/>
        <v/>
      </c>
      <c r="T39" s="22" t="str">
        <f>IF(S39="","",SUMPRODUCT(--(S39&gt;=المساطر!$E$20:$E$29)))</f>
        <v/>
      </c>
      <c r="U39" s="12"/>
      <c r="V39" s="12"/>
      <c r="W39" s="23" t="str">
        <f t="shared" si="4"/>
        <v/>
      </c>
      <c r="X39" s="22" t="str">
        <f>IF(W39="","",SUMPRODUCT(--(W39&lt;=المساطر!$F$20:$F$29)))</f>
        <v/>
      </c>
      <c r="Y39" s="22" t="str">
        <f t="shared" si="5"/>
        <v/>
      </c>
      <c r="Z39" s="21" t="str">
        <f t="shared" si="6"/>
        <v/>
      </c>
      <c r="AA39" s="4" t="str">
        <f t="shared" si="7"/>
        <v/>
      </c>
      <c r="AB39" s="21" t="str">
        <f t="shared" si="8"/>
        <v/>
      </c>
      <c r="AC39" s="22" t="str">
        <f t="shared" si="9"/>
        <v/>
      </c>
    </row>
    <row r="40" spans="1:30">
      <c r="A40" s="19">
        <v>35</v>
      </c>
      <c r="B40" s="5"/>
      <c r="C40" s="5"/>
      <c r="D40" s="5"/>
      <c r="E40" s="20"/>
      <c r="F40" s="20"/>
      <c r="G40" s="21" t="str">
        <f t="shared" si="0"/>
        <v/>
      </c>
      <c r="H40" s="22" t="str">
        <f>IF(G40="","",SUMPRODUCT(--(G40&gt;=المساطر!$B$20:$B$29)))</f>
        <v/>
      </c>
      <c r="I40" s="20"/>
      <c r="J40" s="20"/>
      <c r="K40" s="21" t="str">
        <f t="shared" si="1"/>
        <v/>
      </c>
      <c r="L40" s="22" t="str">
        <f>IF(K40="","",SUMPRODUCT(--(K40&gt;=المساطر!$C$20:$C$29)))</f>
        <v/>
      </c>
      <c r="M40" s="20"/>
      <c r="N40" s="20"/>
      <c r="O40" s="21" t="str">
        <f t="shared" si="2"/>
        <v/>
      </c>
      <c r="P40" s="22" t="str">
        <f>IF(O40="","",SUMPRODUCT(--(O40&gt;=المساطر!$D$20:$D$29)))</f>
        <v/>
      </c>
      <c r="Q40" s="20"/>
      <c r="R40" s="20"/>
      <c r="S40" s="21" t="str">
        <f t="shared" si="3"/>
        <v/>
      </c>
      <c r="T40" s="22" t="str">
        <f>IF(S40="","",SUMPRODUCT(--(S40&gt;=المساطر!$E$20:$E$29)))</f>
        <v/>
      </c>
      <c r="U40" s="12"/>
      <c r="V40" s="12"/>
      <c r="W40" s="23" t="str">
        <f t="shared" si="4"/>
        <v/>
      </c>
      <c r="X40" s="22" t="str">
        <f>IF(W40="","",SUMPRODUCT(--(W40&lt;=المساطر!$F$20:$F$29)))</f>
        <v/>
      </c>
      <c r="Y40" s="22" t="str">
        <f t="shared" si="5"/>
        <v/>
      </c>
      <c r="Z40" s="21" t="str">
        <f t="shared" si="6"/>
        <v/>
      </c>
      <c r="AA40" s="4" t="str">
        <f t="shared" si="7"/>
        <v/>
      </c>
      <c r="AB40" s="21" t="str">
        <f t="shared" si="8"/>
        <v/>
      </c>
      <c r="AC40" s="22" t="str">
        <f t="shared" si="9"/>
        <v/>
      </c>
    </row>
    <row r="41" spans="1:30">
      <c r="A41" s="19">
        <v>36</v>
      </c>
      <c r="B41" s="5"/>
      <c r="C41" s="5"/>
      <c r="D41" s="5"/>
      <c r="E41" s="20"/>
      <c r="F41" s="20"/>
      <c r="G41" s="21" t="str">
        <f t="shared" si="0"/>
        <v/>
      </c>
      <c r="H41" s="22" t="str">
        <f>IF(G41="","",SUMPRODUCT(--(G41&gt;=المساطر!$B$20:$B$29)))</f>
        <v/>
      </c>
      <c r="I41" s="20"/>
      <c r="J41" s="20"/>
      <c r="K41" s="21" t="str">
        <f t="shared" si="1"/>
        <v/>
      </c>
      <c r="L41" s="22" t="str">
        <f>IF(K41="","",SUMPRODUCT(--(K41&gt;=المساطر!$C$20:$C$29)))</f>
        <v/>
      </c>
      <c r="M41" s="20"/>
      <c r="N41" s="20"/>
      <c r="O41" s="21" t="str">
        <f t="shared" si="2"/>
        <v/>
      </c>
      <c r="P41" s="22" t="str">
        <f>IF(O41="","",SUMPRODUCT(--(O41&gt;=المساطر!$D$20:$D$29)))</f>
        <v/>
      </c>
      <c r="Q41" s="20"/>
      <c r="R41" s="20"/>
      <c r="S41" s="21" t="str">
        <f t="shared" si="3"/>
        <v/>
      </c>
      <c r="T41" s="22" t="str">
        <f>IF(S41="","",SUMPRODUCT(--(S41&gt;=المساطر!$E$20:$E$29)))</f>
        <v/>
      </c>
      <c r="U41" s="12"/>
      <c r="V41" s="12"/>
      <c r="W41" s="23" t="str">
        <f t="shared" si="4"/>
        <v/>
      </c>
      <c r="X41" s="22" t="str">
        <f>IF(W41="","",SUMPRODUCT(--(W41&lt;=المساطر!$F$20:$F$29)))</f>
        <v/>
      </c>
      <c r="Y41" s="22" t="str">
        <f t="shared" si="5"/>
        <v/>
      </c>
      <c r="Z41" s="21" t="str">
        <f t="shared" si="6"/>
        <v/>
      </c>
      <c r="AA41" s="4" t="str">
        <f t="shared" si="7"/>
        <v/>
      </c>
      <c r="AB41" s="21" t="str">
        <f t="shared" si="8"/>
        <v/>
      </c>
      <c r="AC41" s="22" t="str">
        <f t="shared" si="9"/>
        <v/>
      </c>
    </row>
    <row r="42" spans="1:30">
      <c r="A42" s="19">
        <v>37</v>
      </c>
      <c r="B42" s="5"/>
      <c r="C42" s="5"/>
      <c r="D42" s="5"/>
      <c r="E42" s="20"/>
      <c r="F42" s="20"/>
      <c r="G42" s="21" t="str">
        <f t="shared" si="0"/>
        <v/>
      </c>
      <c r="H42" s="22" t="str">
        <f>IF(G42="","",SUMPRODUCT(--(G42&gt;=المساطر!$B$20:$B$29)))</f>
        <v/>
      </c>
      <c r="I42" s="20"/>
      <c r="J42" s="20"/>
      <c r="K42" s="21" t="str">
        <f t="shared" si="1"/>
        <v/>
      </c>
      <c r="L42" s="22" t="str">
        <f>IF(K42="","",SUMPRODUCT(--(K42&gt;=المساطر!$C$20:$C$29)))</f>
        <v/>
      </c>
      <c r="M42" s="20"/>
      <c r="N42" s="20"/>
      <c r="O42" s="21" t="str">
        <f t="shared" si="2"/>
        <v/>
      </c>
      <c r="P42" s="22" t="str">
        <f>IF(O42="","",SUMPRODUCT(--(O42&gt;=المساطر!$D$20:$D$29)))</f>
        <v/>
      </c>
      <c r="Q42" s="20"/>
      <c r="R42" s="20"/>
      <c r="S42" s="21" t="str">
        <f t="shared" si="3"/>
        <v/>
      </c>
      <c r="T42" s="22" t="str">
        <f>IF(S42="","",SUMPRODUCT(--(S42&gt;=المساطر!$E$20:$E$29)))</f>
        <v/>
      </c>
      <c r="U42" s="12"/>
      <c r="V42" s="12"/>
      <c r="W42" s="23" t="str">
        <f t="shared" si="4"/>
        <v/>
      </c>
      <c r="X42" s="22" t="str">
        <f>IF(W42="","",SUMPRODUCT(--(W42&lt;=المساطر!$F$20:$F$29)))</f>
        <v/>
      </c>
      <c r="Y42" s="22" t="str">
        <f t="shared" si="5"/>
        <v/>
      </c>
      <c r="Z42" s="21" t="str">
        <f t="shared" si="6"/>
        <v/>
      </c>
      <c r="AA42" s="4" t="str">
        <f t="shared" si="7"/>
        <v/>
      </c>
      <c r="AB42" s="21" t="str">
        <f t="shared" si="8"/>
        <v/>
      </c>
      <c r="AC42" s="22" t="str">
        <f t="shared" si="9"/>
        <v/>
      </c>
    </row>
    <row r="43" spans="1:30">
      <c r="A43" s="19">
        <v>38</v>
      </c>
      <c r="B43" s="5"/>
      <c r="C43" s="5"/>
      <c r="D43" s="5"/>
      <c r="E43" s="20"/>
      <c r="F43" s="20"/>
      <c r="G43" s="21" t="str">
        <f t="shared" si="0"/>
        <v/>
      </c>
      <c r="H43" s="22" t="str">
        <f>IF(G43="","",SUMPRODUCT(--(G43&gt;=المساطر!$B$20:$B$29)))</f>
        <v/>
      </c>
      <c r="I43" s="20"/>
      <c r="J43" s="20"/>
      <c r="K43" s="21" t="str">
        <f t="shared" si="1"/>
        <v/>
      </c>
      <c r="L43" s="22" t="str">
        <f>IF(K43="","",SUMPRODUCT(--(K43&gt;=المساطر!$C$20:$C$29)))</f>
        <v/>
      </c>
      <c r="M43" s="20"/>
      <c r="N43" s="20"/>
      <c r="O43" s="21" t="str">
        <f t="shared" si="2"/>
        <v/>
      </c>
      <c r="P43" s="22" t="str">
        <f>IF(O43="","",SUMPRODUCT(--(O43&gt;=المساطر!$D$20:$D$29)))</f>
        <v/>
      </c>
      <c r="Q43" s="20"/>
      <c r="R43" s="20"/>
      <c r="S43" s="21" t="str">
        <f t="shared" si="3"/>
        <v/>
      </c>
      <c r="T43" s="22" t="str">
        <f>IF(S43="","",SUMPRODUCT(--(S43&gt;=المساطر!$E$20:$E$29)))</f>
        <v/>
      </c>
      <c r="U43" s="12"/>
      <c r="V43" s="12"/>
      <c r="W43" s="23" t="str">
        <f t="shared" si="4"/>
        <v/>
      </c>
      <c r="X43" s="22" t="str">
        <f>IF(W43="","",SUMPRODUCT(--(W43&lt;=المساطر!$F$20:$F$29)))</f>
        <v/>
      </c>
      <c r="Y43" s="22" t="str">
        <f t="shared" si="5"/>
        <v/>
      </c>
      <c r="Z43" s="21" t="str">
        <f t="shared" si="6"/>
        <v/>
      </c>
      <c r="AA43" s="4" t="str">
        <f t="shared" si="7"/>
        <v/>
      </c>
      <c r="AB43" s="21" t="str">
        <f t="shared" si="8"/>
        <v/>
      </c>
      <c r="AC43" s="22" t="str">
        <f t="shared" si="9"/>
        <v/>
      </c>
    </row>
    <row r="44" spans="1:30">
      <c r="A44" s="19">
        <v>39</v>
      </c>
      <c r="B44" s="5"/>
      <c r="C44" s="5"/>
      <c r="D44" s="5"/>
      <c r="E44" s="20"/>
      <c r="F44" s="20"/>
      <c r="G44" s="21" t="str">
        <f t="shared" si="0"/>
        <v/>
      </c>
      <c r="H44" s="22" t="str">
        <f>IF(G44="","",SUMPRODUCT(--(G44&gt;=المساطر!$B$20:$B$29)))</f>
        <v/>
      </c>
      <c r="I44" s="20"/>
      <c r="J44" s="20"/>
      <c r="K44" s="21" t="str">
        <f t="shared" si="1"/>
        <v/>
      </c>
      <c r="L44" s="22" t="str">
        <f>IF(K44="","",SUMPRODUCT(--(K44&gt;=المساطر!$C$20:$C$29)))</f>
        <v/>
      </c>
      <c r="M44" s="20"/>
      <c r="N44" s="20"/>
      <c r="O44" s="21" t="str">
        <f t="shared" si="2"/>
        <v/>
      </c>
      <c r="P44" s="22" t="str">
        <f>IF(O44="","",SUMPRODUCT(--(O44&gt;=المساطر!$D$20:$D$29)))</f>
        <v/>
      </c>
      <c r="Q44" s="20"/>
      <c r="R44" s="20"/>
      <c r="S44" s="21" t="str">
        <f t="shared" si="3"/>
        <v/>
      </c>
      <c r="T44" s="22" t="str">
        <f>IF(S44="","",SUMPRODUCT(--(S44&gt;=المساطر!$E$20:$E$29)))</f>
        <v/>
      </c>
      <c r="U44" s="12"/>
      <c r="V44" s="12"/>
      <c r="W44" s="23" t="str">
        <f t="shared" si="4"/>
        <v/>
      </c>
      <c r="X44" s="22" t="str">
        <f>IF(W44="","",SUMPRODUCT(--(W44&lt;=المساطر!$F$20:$F$29)))</f>
        <v/>
      </c>
      <c r="Y44" s="22" t="str">
        <f t="shared" si="5"/>
        <v/>
      </c>
      <c r="Z44" s="21" t="str">
        <f t="shared" si="6"/>
        <v/>
      </c>
      <c r="AA44" s="4" t="str">
        <f t="shared" si="7"/>
        <v/>
      </c>
      <c r="AB44" s="21" t="str">
        <f t="shared" si="8"/>
        <v/>
      </c>
      <c r="AC44" s="22" t="str">
        <f t="shared" si="9"/>
        <v/>
      </c>
    </row>
    <row r="45" spans="1:30">
      <c r="A45" s="19">
        <v>40</v>
      </c>
      <c r="B45" s="5"/>
      <c r="C45" s="5"/>
      <c r="D45" s="5"/>
      <c r="E45" s="20"/>
      <c r="F45" s="20"/>
      <c r="G45" s="21" t="str">
        <f t="shared" si="0"/>
        <v/>
      </c>
      <c r="H45" s="22" t="str">
        <f>IF(G45="","",SUMPRODUCT(--(G45&gt;=المساطر!$B$20:$B$29)))</f>
        <v/>
      </c>
      <c r="I45" s="20"/>
      <c r="J45" s="20"/>
      <c r="K45" s="21" t="str">
        <f t="shared" si="1"/>
        <v/>
      </c>
      <c r="L45" s="22" t="str">
        <f>IF(K45="","",SUMPRODUCT(--(K45&gt;=المساطر!$C$20:$C$29)))</f>
        <v/>
      </c>
      <c r="M45" s="20"/>
      <c r="N45" s="20"/>
      <c r="O45" s="21" t="str">
        <f t="shared" si="2"/>
        <v/>
      </c>
      <c r="P45" s="22" t="str">
        <f>IF(O45="","",SUMPRODUCT(--(O45&gt;=المساطر!$D$20:$D$29)))</f>
        <v/>
      </c>
      <c r="Q45" s="20"/>
      <c r="R45" s="20"/>
      <c r="S45" s="21" t="str">
        <f t="shared" si="3"/>
        <v/>
      </c>
      <c r="T45" s="22" t="str">
        <f>IF(S45="","",SUMPRODUCT(--(S45&gt;=المساطر!$E$20:$E$29)))</f>
        <v/>
      </c>
      <c r="U45" s="12"/>
      <c r="V45" s="12"/>
      <c r="W45" s="23" t="str">
        <f t="shared" si="4"/>
        <v/>
      </c>
      <c r="X45" s="22" t="str">
        <f>IF(W45="","",SUMPRODUCT(--(W45&lt;=المساطر!$F$20:$F$29)))</f>
        <v/>
      </c>
      <c r="Y45" s="22" t="str">
        <f t="shared" si="5"/>
        <v/>
      </c>
      <c r="Z45" s="21" t="str">
        <f t="shared" si="6"/>
        <v/>
      </c>
      <c r="AA45" s="4" t="str">
        <f t="shared" si="7"/>
        <v/>
      </c>
      <c r="AB45" s="21" t="str">
        <f t="shared" si="8"/>
        <v/>
      </c>
      <c r="AC45" s="22" t="str">
        <f t="shared" si="9"/>
        <v/>
      </c>
    </row>
    <row r="47" spans="1:30" ht="48" customHeight="1">
      <c r="A47" s="42" t="s">
        <v>125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</row>
  </sheetData>
  <mergeCells count="17">
    <mergeCell ref="AC3:AC4"/>
    <mergeCell ref="A47:AD47"/>
    <mergeCell ref="A1:AD1"/>
    <mergeCell ref="A2:AD2"/>
    <mergeCell ref="A3:A4"/>
    <mergeCell ref="B3:B4"/>
    <mergeCell ref="C3:C4"/>
    <mergeCell ref="D3:D4"/>
    <mergeCell ref="E3:H3"/>
    <mergeCell ref="I3:L3"/>
    <mergeCell ref="M3:P3"/>
    <mergeCell ref="Q3:T3"/>
    <mergeCell ref="U3:X3"/>
    <mergeCell ref="Y3:Y4"/>
    <mergeCell ref="Z3:Z4"/>
    <mergeCell ref="AA3:AA4"/>
    <mergeCell ref="AB3:AB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3D"/>
    <pageSetUpPr fitToPage="1"/>
  </sheetPr>
  <dimension ref="A1:AD47"/>
  <sheetViews>
    <sheetView rightToLeft="1" zoomScaleNormal="100" workbookViewId="0">
      <pane xSplit="2" ySplit="4" topLeftCell="S5" activePane="bottomRight" state="frozen"/>
      <selection pane="topRight" activeCell="C1" sqref="C1"/>
      <selection pane="bottomLeft" activeCell="A5" sqref="A5"/>
      <selection pane="bottomRight" activeCell="T11" sqref="T11"/>
    </sheetView>
  </sheetViews>
  <sheetFormatPr defaultColWidth="8.6640625" defaultRowHeight="14.4"/>
  <cols>
    <col min="1" max="1" width="7" customWidth="1"/>
    <col min="2" max="2" width="28" customWidth="1"/>
    <col min="3" max="3" width="14" customWidth="1"/>
    <col min="4" max="4" width="9" customWidth="1"/>
    <col min="5" max="24" width="10" customWidth="1"/>
    <col min="25" max="29" width="15" customWidth="1"/>
  </cols>
  <sheetData>
    <row r="1" spans="1:30" ht="30" customHeight="1">
      <c r="A1" s="35" t="s">
        <v>308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1:30" ht="15" customHeight="1">
      <c r="A2" s="36" t="s">
        <v>57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</row>
    <row r="3" spans="1:30" ht="43.5" customHeight="1">
      <c r="A3" s="43" t="s">
        <v>2</v>
      </c>
      <c r="B3" s="43" t="s">
        <v>103</v>
      </c>
      <c r="C3" s="43" t="s">
        <v>104</v>
      </c>
      <c r="D3" s="43" t="s">
        <v>105</v>
      </c>
      <c r="E3" s="43" t="s">
        <v>106</v>
      </c>
      <c r="F3" s="43"/>
      <c r="G3" s="43"/>
      <c r="H3" s="43"/>
      <c r="I3" s="43" t="s">
        <v>107</v>
      </c>
      <c r="J3" s="43"/>
      <c r="K3" s="43"/>
      <c r="L3" s="43"/>
      <c r="M3" s="43" t="s">
        <v>108</v>
      </c>
      <c r="N3" s="43"/>
      <c r="O3" s="43"/>
      <c r="P3" s="43"/>
      <c r="Q3" s="43" t="s">
        <v>128</v>
      </c>
      <c r="R3" s="43"/>
      <c r="S3" s="43"/>
      <c r="T3" s="43"/>
      <c r="U3" s="43" t="s">
        <v>129</v>
      </c>
      <c r="V3" s="43"/>
      <c r="W3" s="43"/>
      <c r="X3" s="43"/>
      <c r="Y3" s="43" t="s">
        <v>110</v>
      </c>
      <c r="Z3" s="43" t="s">
        <v>111</v>
      </c>
      <c r="AA3" s="43" t="s">
        <v>112</v>
      </c>
      <c r="AB3" s="43" t="s">
        <v>113</v>
      </c>
      <c r="AC3" s="43" t="s">
        <v>114</v>
      </c>
    </row>
    <row r="4" spans="1:30" ht="24" customHeight="1">
      <c r="A4" s="43"/>
      <c r="B4" s="43"/>
      <c r="C4" s="43"/>
      <c r="D4" s="43"/>
      <c r="E4" s="2" t="s">
        <v>115</v>
      </c>
      <c r="F4" s="2" t="s">
        <v>116</v>
      </c>
      <c r="G4" s="2" t="s">
        <v>117</v>
      </c>
      <c r="H4" s="2" t="s">
        <v>83</v>
      </c>
      <c r="I4" s="2" t="s">
        <v>115</v>
      </c>
      <c r="J4" s="2" t="s">
        <v>116</v>
      </c>
      <c r="K4" s="2" t="s">
        <v>117</v>
      </c>
      <c r="L4" s="2" t="s">
        <v>83</v>
      </c>
      <c r="M4" s="2" t="s">
        <v>115</v>
      </c>
      <c r="N4" s="2" t="s">
        <v>116</v>
      </c>
      <c r="O4" s="2" t="s">
        <v>117</v>
      </c>
      <c r="P4" s="2" t="s">
        <v>83</v>
      </c>
      <c r="Q4" s="2" t="s">
        <v>118</v>
      </c>
      <c r="R4" s="2" t="s">
        <v>119</v>
      </c>
      <c r="S4" s="2" t="s">
        <v>120</v>
      </c>
      <c r="T4" s="2" t="s">
        <v>83</v>
      </c>
      <c r="U4" s="2" t="s">
        <v>118</v>
      </c>
      <c r="V4" s="2" t="s">
        <v>119</v>
      </c>
      <c r="W4" s="2" t="s">
        <v>120</v>
      </c>
      <c r="X4" s="2" t="s">
        <v>83</v>
      </c>
      <c r="Y4" s="43"/>
      <c r="Z4" s="43"/>
      <c r="AA4" s="43"/>
      <c r="AB4" s="43"/>
      <c r="AC4" s="43"/>
    </row>
    <row r="5" spans="1:30">
      <c r="A5" s="7" t="s">
        <v>121</v>
      </c>
      <c r="B5" s="7" t="s">
        <v>122</v>
      </c>
      <c r="C5" s="7" t="s">
        <v>123</v>
      </c>
      <c r="D5" s="7" t="s">
        <v>124</v>
      </c>
      <c r="E5" s="13">
        <v>30</v>
      </c>
      <c r="F5" s="13">
        <v>31</v>
      </c>
      <c r="G5" s="14">
        <f t="shared" ref="G5:G45" si="0">IF(COUNT(E5:F5)=0,"",AVERAGE(E5:F5))</f>
        <v>30.5</v>
      </c>
      <c r="H5" s="15">
        <f>IF(G5="","",SUMPRODUCT(--(G5&gt;=المساطر!$B$34:$B$43)))</f>
        <v>5</v>
      </c>
      <c r="I5" s="13">
        <v>29</v>
      </c>
      <c r="J5" s="13">
        <v>29</v>
      </c>
      <c r="K5" s="14">
        <f t="shared" ref="K5:K45" si="1">IF(COUNT(I5:J5)=0,"",AVERAGE(I5:J5))</f>
        <v>29</v>
      </c>
      <c r="L5" s="15">
        <f>IF(K5="","",SUMPRODUCT(--(K5&gt;=المساطر!$C$34:$C$43)))</f>
        <v>5</v>
      </c>
      <c r="M5" s="13">
        <v>46</v>
      </c>
      <c r="N5" s="13">
        <v>47</v>
      </c>
      <c r="O5" s="14">
        <f t="shared" ref="O5:O45" si="2">IF(COUNT(M5:N5)=0,"",AVERAGE(M5:N5))</f>
        <v>46.5</v>
      </c>
      <c r="P5" s="15">
        <f>IF(O5="","",SUMPRODUCT(--(O5&gt;=المساطر!$D$34:$D$43)))</f>
        <v>7</v>
      </c>
      <c r="Q5" s="16">
        <v>13.9</v>
      </c>
      <c r="R5" s="16">
        <v>13.6</v>
      </c>
      <c r="S5" s="17">
        <f t="shared" ref="S5:S45" si="3">IF(COUNT(Q5:R5)=0,"",MIN(Q5:R5))</f>
        <v>13.6</v>
      </c>
      <c r="T5" s="15">
        <f>IF(S5="","",SUMPRODUCT(--(S5&lt;=المساطر!$E$34:$E$43)))</f>
        <v>7</v>
      </c>
      <c r="U5" s="13">
        <v>12</v>
      </c>
      <c r="V5" s="13"/>
      <c r="W5" s="14">
        <f t="shared" ref="W5:W45" si="4">IF(COUNT(U5:V5)=0,"",MAX(U5:V5))</f>
        <v>12</v>
      </c>
      <c r="X5" s="15">
        <f>IF(W5="","",SUMPRODUCT(--(W5&gt;=المساطر!$F$34:$F$43)))</f>
        <v>6</v>
      </c>
      <c r="Y5" s="15">
        <f t="shared" ref="Y5:Y45" si="5">IF(COUNT(H5,L5,P5,T5,X5)=5,SUM(H5,L5,P5,T5,X5),"")</f>
        <v>30</v>
      </c>
      <c r="Z5" s="14">
        <f t="shared" ref="Z5:Z45" si="6">IF(Y5="","",Y5/5)</f>
        <v>6</v>
      </c>
      <c r="AA5" s="18" t="str">
        <f t="shared" ref="AA5:AA45" si="7">IF(Z5="","",IF(ROUND(Z5,0)&gt;=9,"ممتاز",IF(ROUND(Z5,0)&gt;=7,"جيد جدا",IF(ROUND(Z5,0)&gt;=5,"جيد",IF(ROUND(Z5,0)&gt;=3,"مقبول","ضعيف")))))</f>
        <v>جيد</v>
      </c>
      <c r="AB5" s="14">
        <f t="shared" ref="AB5:AB45" si="8">IF(COUNT(G5,K5,O5)=3,SUM(G5,K5,O5),"")</f>
        <v>106</v>
      </c>
      <c r="AC5" s="15">
        <f t="shared" ref="AC5:AC45" si="9">IF(Y5="","",1+COUNTIF($Y$6:$Y$45,"&gt;"&amp;Y5)+COUNTIFS($Y$6:$Y$45,Y5,$AB$6:$AB$45,"&gt;"&amp;AB5))</f>
        <v>1</v>
      </c>
    </row>
    <row r="6" spans="1:30">
      <c r="A6" s="19">
        <v>1</v>
      </c>
      <c r="B6" s="5"/>
      <c r="C6" s="5"/>
      <c r="D6" s="5"/>
      <c r="E6" s="20"/>
      <c r="F6" s="20"/>
      <c r="G6" s="21" t="str">
        <f t="shared" si="0"/>
        <v/>
      </c>
      <c r="H6" s="22" t="str">
        <f>IF(G6="","",SUMPRODUCT(--(G6&gt;=المساطر!$B$34:$B$43)))</f>
        <v/>
      </c>
      <c r="I6" s="20"/>
      <c r="J6" s="20"/>
      <c r="K6" s="21" t="str">
        <f t="shared" si="1"/>
        <v/>
      </c>
      <c r="L6" s="22" t="str">
        <f>IF(K6="","",SUMPRODUCT(--(K6&gt;=المساطر!$C$34:$C$43)))</f>
        <v/>
      </c>
      <c r="M6" s="20"/>
      <c r="N6" s="20"/>
      <c r="O6" s="21" t="str">
        <f t="shared" si="2"/>
        <v/>
      </c>
      <c r="P6" s="22" t="str">
        <f>IF(O6="","",SUMPRODUCT(--(O6&gt;=المساطر!$D$34:$D$43)))</f>
        <v/>
      </c>
      <c r="Q6" s="12"/>
      <c r="R6" s="12"/>
      <c r="S6" s="23" t="str">
        <f t="shared" si="3"/>
        <v/>
      </c>
      <c r="T6" s="22" t="str">
        <f>IF(S6="","",SUMPRODUCT(--(S6&lt;=المساطر!$E$34:$E$43)))</f>
        <v/>
      </c>
      <c r="U6" s="20"/>
      <c r="V6" s="20"/>
      <c r="W6" s="21" t="str">
        <f t="shared" si="4"/>
        <v/>
      </c>
      <c r="X6" s="22" t="str">
        <f>IF(W6="","",SUMPRODUCT(--(W6&gt;=المساطر!$F$34:$F$43)))</f>
        <v/>
      </c>
      <c r="Y6" s="22" t="str">
        <f t="shared" si="5"/>
        <v/>
      </c>
      <c r="Z6" s="21" t="str">
        <f t="shared" si="6"/>
        <v/>
      </c>
      <c r="AA6" s="4" t="str">
        <f t="shared" si="7"/>
        <v/>
      </c>
      <c r="AB6" s="21" t="str">
        <f t="shared" si="8"/>
        <v/>
      </c>
      <c r="AC6" s="22" t="str">
        <f t="shared" si="9"/>
        <v/>
      </c>
    </row>
    <row r="7" spans="1:30">
      <c r="A7" s="19">
        <v>2</v>
      </c>
      <c r="B7" s="5"/>
      <c r="C7" s="5"/>
      <c r="D7" s="5"/>
      <c r="E7" s="20"/>
      <c r="F7" s="20"/>
      <c r="G7" s="21" t="str">
        <f t="shared" si="0"/>
        <v/>
      </c>
      <c r="H7" s="22" t="str">
        <f>IF(G7="","",SUMPRODUCT(--(G7&gt;=المساطر!$B$34:$B$43)))</f>
        <v/>
      </c>
      <c r="I7" s="20"/>
      <c r="J7" s="20"/>
      <c r="K7" s="21" t="str">
        <f t="shared" si="1"/>
        <v/>
      </c>
      <c r="L7" s="22" t="str">
        <f>IF(K7="","",SUMPRODUCT(--(K7&gt;=المساطر!$C$34:$C$43)))</f>
        <v/>
      </c>
      <c r="M7" s="20"/>
      <c r="N7" s="20"/>
      <c r="O7" s="21" t="str">
        <f t="shared" si="2"/>
        <v/>
      </c>
      <c r="P7" s="22" t="str">
        <f>IF(O7="","",SUMPRODUCT(--(O7&gt;=المساطر!$D$34:$D$43)))</f>
        <v/>
      </c>
      <c r="Q7" s="12"/>
      <c r="R7" s="12"/>
      <c r="S7" s="23" t="str">
        <f t="shared" si="3"/>
        <v/>
      </c>
      <c r="T7" s="22" t="str">
        <f>IF(S7="","",SUMPRODUCT(--(S7&lt;=المساطر!$E$34:$E$43)))</f>
        <v/>
      </c>
      <c r="U7" s="20"/>
      <c r="V7" s="20"/>
      <c r="W7" s="21" t="str">
        <f t="shared" si="4"/>
        <v/>
      </c>
      <c r="X7" s="22" t="str">
        <f>IF(W7="","",SUMPRODUCT(--(W7&gt;=المساطر!$F$34:$F$43)))</f>
        <v/>
      </c>
      <c r="Y7" s="22" t="str">
        <f t="shared" si="5"/>
        <v/>
      </c>
      <c r="Z7" s="21" t="str">
        <f t="shared" si="6"/>
        <v/>
      </c>
      <c r="AA7" s="4" t="str">
        <f t="shared" si="7"/>
        <v/>
      </c>
      <c r="AB7" s="21" t="str">
        <f t="shared" si="8"/>
        <v/>
      </c>
      <c r="AC7" s="22" t="str">
        <f t="shared" si="9"/>
        <v/>
      </c>
    </row>
    <row r="8" spans="1:30">
      <c r="A8" s="19">
        <v>3</v>
      </c>
      <c r="B8" s="5"/>
      <c r="C8" s="5"/>
      <c r="D8" s="5"/>
      <c r="E8" s="20"/>
      <c r="F8" s="20"/>
      <c r="G8" s="21" t="str">
        <f t="shared" si="0"/>
        <v/>
      </c>
      <c r="H8" s="22" t="str">
        <f>IF(G8="","",SUMPRODUCT(--(G8&gt;=المساطر!$B$34:$B$43)))</f>
        <v/>
      </c>
      <c r="I8" s="20"/>
      <c r="J8" s="20"/>
      <c r="K8" s="21" t="str">
        <f t="shared" si="1"/>
        <v/>
      </c>
      <c r="L8" s="22" t="str">
        <f>IF(K8="","",SUMPRODUCT(--(K8&gt;=المساطر!$C$34:$C$43)))</f>
        <v/>
      </c>
      <c r="M8" s="20"/>
      <c r="N8" s="20"/>
      <c r="O8" s="21" t="str">
        <f t="shared" si="2"/>
        <v/>
      </c>
      <c r="P8" s="22" t="str">
        <f>IF(O8="","",SUMPRODUCT(--(O8&gt;=المساطر!$D$34:$D$43)))</f>
        <v/>
      </c>
      <c r="Q8" s="12"/>
      <c r="R8" s="12"/>
      <c r="S8" s="23" t="str">
        <f t="shared" si="3"/>
        <v/>
      </c>
      <c r="T8" s="22" t="str">
        <f>IF(S8="","",SUMPRODUCT(--(S8&lt;=المساطر!$E$34:$E$43)))</f>
        <v/>
      </c>
      <c r="U8" s="20"/>
      <c r="V8" s="20"/>
      <c r="W8" s="21" t="str">
        <f t="shared" si="4"/>
        <v/>
      </c>
      <c r="X8" s="22" t="str">
        <f>IF(W8="","",SUMPRODUCT(--(W8&gt;=المساطر!$F$34:$F$43)))</f>
        <v/>
      </c>
      <c r="Y8" s="22" t="str">
        <f t="shared" si="5"/>
        <v/>
      </c>
      <c r="Z8" s="21" t="str">
        <f t="shared" si="6"/>
        <v/>
      </c>
      <c r="AA8" s="4" t="str">
        <f t="shared" si="7"/>
        <v/>
      </c>
      <c r="AB8" s="21" t="str">
        <f t="shared" si="8"/>
        <v/>
      </c>
      <c r="AC8" s="22" t="str">
        <f t="shared" si="9"/>
        <v/>
      </c>
    </row>
    <row r="9" spans="1:30">
      <c r="A9" s="19">
        <v>4</v>
      </c>
      <c r="B9" s="5"/>
      <c r="C9" s="5"/>
      <c r="D9" s="5"/>
      <c r="E9" s="20"/>
      <c r="F9" s="20"/>
      <c r="G9" s="21" t="str">
        <f t="shared" si="0"/>
        <v/>
      </c>
      <c r="H9" s="22" t="str">
        <f>IF(G9="","",SUMPRODUCT(--(G9&gt;=المساطر!$B$34:$B$43)))</f>
        <v/>
      </c>
      <c r="I9" s="20"/>
      <c r="J9" s="20"/>
      <c r="K9" s="21" t="str">
        <f t="shared" si="1"/>
        <v/>
      </c>
      <c r="L9" s="22" t="str">
        <f>IF(K9="","",SUMPRODUCT(--(K9&gt;=المساطر!$C$34:$C$43)))</f>
        <v/>
      </c>
      <c r="M9" s="20"/>
      <c r="N9" s="20"/>
      <c r="O9" s="21" t="str">
        <f t="shared" si="2"/>
        <v/>
      </c>
      <c r="P9" s="22" t="str">
        <f>IF(O9="","",SUMPRODUCT(--(O9&gt;=المساطر!$D$34:$D$43)))</f>
        <v/>
      </c>
      <c r="Q9" s="12"/>
      <c r="R9" s="12"/>
      <c r="S9" s="23" t="str">
        <f t="shared" si="3"/>
        <v/>
      </c>
      <c r="T9" s="22" t="str">
        <f>IF(S9="","",SUMPRODUCT(--(S9&lt;=المساطر!$E$34:$E$43)))</f>
        <v/>
      </c>
      <c r="U9" s="20"/>
      <c r="V9" s="20"/>
      <c r="W9" s="21" t="str">
        <f t="shared" si="4"/>
        <v/>
      </c>
      <c r="X9" s="22" t="str">
        <f>IF(W9="","",SUMPRODUCT(--(W9&gt;=المساطر!$F$34:$F$43)))</f>
        <v/>
      </c>
      <c r="Y9" s="22" t="str">
        <f t="shared" si="5"/>
        <v/>
      </c>
      <c r="Z9" s="21" t="str">
        <f t="shared" si="6"/>
        <v/>
      </c>
      <c r="AA9" s="4" t="str">
        <f t="shared" si="7"/>
        <v/>
      </c>
      <c r="AB9" s="21" t="str">
        <f t="shared" si="8"/>
        <v/>
      </c>
      <c r="AC9" s="22" t="str">
        <f t="shared" si="9"/>
        <v/>
      </c>
    </row>
    <row r="10" spans="1:30">
      <c r="A10" s="19">
        <v>5</v>
      </c>
      <c r="B10" s="5"/>
      <c r="C10" s="5"/>
      <c r="D10" s="5"/>
      <c r="E10" s="20"/>
      <c r="F10" s="20"/>
      <c r="G10" s="21" t="str">
        <f t="shared" si="0"/>
        <v/>
      </c>
      <c r="H10" s="22" t="str">
        <f>IF(G10="","",SUMPRODUCT(--(G10&gt;=المساطر!$B$34:$B$43)))</f>
        <v/>
      </c>
      <c r="I10" s="20"/>
      <c r="J10" s="20"/>
      <c r="K10" s="21" t="str">
        <f t="shared" si="1"/>
        <v/>
      </c>
      <c r="L10" s="22" t="str">
        <f>IF(K10="","",SUMPRODUCT(--(K10&gt;=المساطر!$C$34:$C$43)))</f>
        <v/>
      </c>
      <c r="M10" s="20"/>
      <c r="N10" s="20"/>
      <c r="O10" s="21" t="str">
        <f t="shared" si="2"/>
        <v/>
      </c>
      <c r="P10" s="22" t="str">
        <f>IF(O10="","",SUMPRODUCT(--(O10&gt;=المساطر!$D$34:$D$43)))</f>
        <v/>
      </c>
      <c r="Q10" s="12"/>
      <c r="R10" s="12"/>
      <c r="S10" s="23" t="str">
        <f t="shared" si="3"/>
        <v/>
      </c>
      <c r="T10" s="22" t="str">
        <f>IF(S10="","",SUMPRODUCT(--(S10&lt;=المساطر!$E$34:$E$43)))</f>
        <v/>
      </c>
      <c r="U10" s="20"/>
      <c r="V10" s="20"/>
      <c r="W10" s="21" t="str">
        <f t="shared" si="4"/>
        <v/>
      </c>
      <c r="X10" s="22" t="str">
        <f>IF(W10="","",SUMPRODUCT(--(W10&gt;=المساطر!$F$34:$F$43)))</f>
        <v/>
      </c>
      <c r="Y10" s="22" t="str">
        <f t="shared" si="5"/>
        <v/>
      </c>
      <c r="Z10" s="21" t="str">
        <f t="shared" si="6"/>
        <v/>
      </c>
      <c r="AA10" s="4" t="str">
        <f t="shared" si="7"/>
        <v/>
      </c>
      <c r="AB10" s="21" t="str">
        <f t="shared" si="8"/>
        <v/>
      </c>
      <c r="AC10" s="22" t="str">
        <f t="shared" si="9"/>
        <v/>
      </c>
    </row>
    <row r="11" spans="1:30">
      <c r="A11" s="19">
        <v>6</v>
      </c>
      <c r="B11" s="5"/>
      <c r="C11" s="5"/>
      <c r="D11" s="5"/>
      <c r="E11" s="20"/>
      <c r="F11" s="20"/>
      <c r="G11" s="21" t="str">
        <f t="shared" si="0"/>
        <v/>
      </c>
      <c r="H11" s="22" t="str">
        <f>IF(G11="","",SUMPRODUCT(--(G11&gt;=المساطر!$B$34:$B$43)))</f>
        <v/>
      </c>
      <c r="I11" s="20"/>
      <c r="J11" s="20"/>
      <c r="K11" s="21" t="str">
        <f t="shared" si="1"/>
        <v/>
      </c>
      <c r="L11" s="22" t="str">
        <f>IF(K11="","",SUMPRODUCT(--(K11&gt;=المساطر!$C$34:$C$43)))</f>
        <v/>
      </c>
      <c r="M11" s="20"/>
      <c r="N11" s="20"/>
      <c r="O11" s="21" t="str">
        <f t="shared" si="2"/>
        <v/>
      </c>
      <c r="P11" s="22" t="str">
        <f>IF(O11="","",SUMPRODUCT(--(O11&gt;=المساطر!$D$34:$D$43)))</f>
        <v/>
      </c>
      <c r="Q11" s="12"/>
      <c r="R11" s="12"/>
      <c r="S11" s="23" t="str">
        <f t="shared" si="3"/>
        <v/>
      </c>
      <c r="T11" s="22" t="str">
        <f>IF(S11="","",SUMPRODUCT(--(S11&lt;=المساطر!$E$34:$E$43)))</f>
        <v/>
      </c>
      <c r="U11" s="20"/>
      <c r="V11" s="20"/>
      <c r="W11" s="21" t="str">
        <f t="shared" si="4"/>
        <v/>
      </c>
      <c r="X11" s="22" t="str">
        <f>IF(W11="","",SUMPRODUCT(--(W11&gt;=المساطر!$F$34:$F$43)))</f>
        <v/>
      </c>
      <c r="Y11" s="22" t="str">
        <f t="shared" si="5"/>
        <v/>
      </c>
      <c r="Z11" s="21" t="str">
        <f t="shared" si="6"/>
        <v/>
      </c>
      <c r="AA11" s="4" t="str">
        <f t="shared" si="7"/>
        <v/>
      </c>
      <c r="AB11" s="21" t="str">
        <f t="shared" si="8"/>
        <v/>
      </c>
      <c r="AC11" s="22" t="str">
        <f t="shared" si="9"/>
        <v/>
      </c>
    </row>
    <row r="12" spans="1:30">
      <c r="A12" s="19">
        <v>7</v>
      </c>
      <c r="B12" s="5"/>
      <c r="C12" s="5"/>
      <c r="D12" s="5"/>
      <c r="E12" s="20"/>
      <c r="F12" s="20"/>
      <c r="G12" s="21" t="str">
        <f t="shared" si="0"/>
        <v/>
      </c>
      <c r="H12" s="22" t="str">
        <f>IF(G12="","",SUMPRODUCT(--(G12&gt;=المساطر!$B$34:$B$43)))</f>
        <v/>
      </c>
      <c r="I12" s="20"/>
      <c r="J12" s="20"/>
      <c r="K12" s="21" t="str">
        <f t="shared" si="1"/>
        <v/>
      </c>
      <c r="L12" s="22" t="str">
        <f>IF(K12="","",SUMPRODUCT(--(K12&gt;=المساطر!$C$34:$C$43)))</f>
        <v/>
      </c>
      <c r="M12" s="20"/>
      <c r="N12" s="20"/>
      <c r="O12" s="21" t="str">
        <f t="shared" si="2"/>
        <v/>
      </c>
      <c r="P12" s="22" t="str">
        <f>IF(O12="","",SUMPRODUCT(--(O12&gt;=المساطر!$D$34:$D$43)))</f>
        <v/>
      </c>
      <c r="Q12" s="12"/>
      <c r="R12" s="12"/>
      <c r="S12" s="23" t="str">
        <f t="shared" si="3"/>
        <v/>
      </c>
      <c r="T12" s="22" t="str">
        <f>IF(S12="","",SUMPRODUCT(--(S12&lt;=المساطر!$E$34:$E$43)))</f>
        <v/>
      </c>
      <c r="U12" s="20"/>
      <c r="V12" s="20"/>
      <c r="W12" s="21" t="str">
        <f t="shared" si="4"/>
        <v/>
      </c>
      <c r="X12" s="22" t="str">
        <f>IF(W12="","",SUMPRODUCT(--(W12&gt;=المساطر!$F$34:$F$43)))</f>
        <v/>
      </c>
      <c r="Y12" s="22" t="str">
        <f t="shared" si="5"/>
        <v/>
      </c>
      <c r="Z12" s="21" t="str">
        <f t="shared" si="6"/>
        <v/>
      </c>
      <c r="AA12" s="4" t="str">
        <f t="shared" si="7"/>
        <v/>
      </c>
      <c r="AB12" s="21" t="str">
        <f t="shared" si="8"/>
        <v/>
      </c>
      <c r="AC12" s="22" t="str">
        <f t="shared" si="9"/>
        <v/>
      </c>
    </row>
    <row r="13" spans="1:30">
      <c r="A13" s="19">
        <v>8</v>
      </c>
      <c r="B13" s="5"/>
      <c r="C13" s="5"/>
      <c r="D13" s="5"/>
      <c r="E13" s="20"/>
      <c r="F13" s="20"/>
      <c r="G13" s="21" t="str">
        <f t="shared" si="0"/>
        <v/>
      </c>
      <c r="H13" s="22" t="str">
        <f>IF(G13="","",SUMPRODUCT(--(G13&gt;=المساطر!$B$34:$B$43)))</f>
        <v/>
      </c>
      <c r="I13" s="20"/>
      <c r="J13" s="20"/>
      <c r="K13" s="21" t="str">
        <f t="shared" si="1"/>
        <v/>
      </c>
      <c r="L13" s="22" t="str">
        <f>IF(K13="","",SUMPRODUCT(--(K13&gt;=المساطر!$C$34:$C$43)))</f>
        <v/>
      </c>
      <c r="M13" s="20"/>
      <c r="N13" s="20"/>
      <c r="O13" s="21" t="str">
        <f t="shared" si="2"/>
        <v/>
      </c>
      <c r="P13" s="22" t="str">
        <f>IF(O13="","",SUMPRODUCT(--(O13&gt;=المساطر!$D$34:$D$43)))</f>
        <v/>
      </c>
      <c r="Q13" s="12"/>
      <c r="R13" s="12"/>
      <c r="S13" s="23" t="str">
        <f t="shared" si="3"/>
        <v/>
      </c>
      <c r="T13" s="22" t="str">
        <f>IF(S13="","",SUMPRODUCT(--(S13&lt;=المساطر!$E$34:$E$43)))</f>
        <v/>
      </c>
      <c r="U13" s="20"/>
      <c r="V13" s="20"/>
      <c r="W13" s="21" t="str">
        <f t="shared" si="4"/>
        <v/>
      </c>
      <c r="X13" s="22" t="str">
        <f>IF(W13="","",SUMPRODUCT(--(W13&gt;=المساطر!$F$34:$F$43)))</f>
        <v/>
      </c>
      <c r="Y13" s="22" t="str">
        <f t="shared" si="5"/>
        <v/>
      </c>
      <c r="Z13" s="21" t="str">
        <f t="shared" si="6"/>
        <v/>
      </c>
      <c r="AA13" s="4" t="str">
        <f t="shared" si="7"/>
        <v/>
      </c>
      <c r="AB13" s="21" t="str">
        <f t="shared" si="8"/>
        <v/>
      </c>
      <c r="AC13" s="22" t="str">
        <f t="shared" si="9"/>
        <v/>
      </c>
    </row>
    <row r="14" spans="1:30">
      <c r="A14" s="19">
        <v>9</v>
      </c>
      <c r="B14" s="5"/>
      <c r="C14" s="5"/>
      <c r="D14" s="5"/>
      <c r="E14" s="20"/>
      <c r="F14" s="20"/>
      <c r="G14" s="21" t="str">
        <f t="shared" si="0"/>
        <v/>
      </c>
      <c r="H14" s="22" t="str">
        <f>IF(G14="","",SUMPRODUCT(--(G14&gt;=المساطر!$B$34:$B$43)))</f>
        <v/>
      </c>
      <c r="I14" s="20"/>
      <c r="J14" s="20"/>
      <c r="K14" s="21" t="str">
        <f t="shared" si="1"/>
        <v/>
      </c>
      <c r="L14" s="22" t="str">
        <f>IF(K14="","",SUMPRODUCT(--(K14&gt;=المساطر!$C$34:$C$43)))</f>
        <v/>
      </c>
      <c r="M14" s="20"/>
      <c r="N14" s="20"/>
      <c r="O14" s="21" t="str">
        <f t="shared" si="2"/>
        <v/>
      </c>
      <c r="P14" s="22" t="str">
        <f>IF(O14="","",SUMPRODUCT(--(O14&gt;=المساطر!$D$34:$D$43)))</f>
        <v/>
      </c>
      <c r="Q14" s="12"/>
      <c r="R14" s="12"/>
      <c r="S14" s="23" t="str">
        <f t="shared" si="3"/>
        <v/>
      </c>
      <c r="T14" s="22" t="str">
        <f>IF(S14="","",SUMPRODUCT(--(S14&lt;=المساطر!$E$34:$E$43)))</f>
        <v/>
      </c>
      <c r="U14" s="20"/>
      <c r="V14" s="20"/>
      <c r="W14" s="21" t="str">
        <f t="shared" si="4"/>
        <v/>
      </c>
      <c r="X14" s="22" t="str">
        <f>IF(W14="","",SUMPRODUCT(--(W14&gt;=المساطر!$F$34:$F$43)))</f>
        <v/>
      </c>
      <c r="Y14" s="22" t="str">
        <f t="shared" si="5"/>
        <v/>
      </c>
      <c r="Z14" s="21" t="str">
        <f t="shared" si="6"/>
        <v/>
      </c>
      <c r="AA14" s="4" t="str">
        <f t="shared" si="7"/>
        <v/>
      </c>
      <c r="AB14" s="21" t="str">
        <f t="shared" si="8"/>
        <v/>
      </c>
      <c r="AC14" s="22" t="str">
        <f t="shared" si="9"/>
        <v/>
      </c>
    </row>
    <row r="15" spans="1:30">
      <c r="A15" s="19">
        <v>10</v>
      </c>
      <c r="B15" s="5"/>
      <c r="C15" s="5"/>
      <c r="D15" s="5"/>
      <c r="E15" s="20"/>
      <c r="F15" s="20"/>
      <c r="G15" s="21" t="str">
        <f t="shared" si="0"/>
        <v/>
      </c>
      <c r="H15" s="22" t="str">
        <f>IF(G15="","",SUMPRODUCT(--(G15&gt;=المساطر!$B$34:$B$43)))</f>
        <v/>
      </c>
      <c r="I15" s="20"/>
      <c r="J15" s="20"/>
      <c r="K15" s="21" t="str">
        <f t="shared" si="1"/>
        <v/>
      </c>
      <c r="L15" s="22" t="str">
        <f>IF(K15="","",SUMPRODUCT(--(K15&gt;=المساطر!$C$34:$C$43)))</f>
        <v/>
      </c>
      <c r="M15" s="20"/>
      <c r="N15" s="20"/>
      <c r="O15" s="21" t="str">
        <f t="shared" si="2"/>
        <v/>
      </c>
      <c r="P15" s="22" t="str">
        <f>IF(O15="","",SUMPRODUCT(--(O15&gt;=المساطر!$D$34:$D$43)))</f>
        <v/>
      </c>
      <c r="Q15" s="12"/>
      <c r="R15" s="12"/>
      <c r="S15" s="23" t="str">
        <f t="shared" si="3"/>
        <v/>
      </c>
      <c r="T15" s="22" t="str">
        <f>IF(S15="","",SUMPRODUCT(--(S15&lt;=المساطر!$E$34:$E$43)))</f>
        <v/>
      </c>
      <c r="U15" s="20"/>
      <c r="V15" s="20"/>
      <c r="W15" s="21" t="str">
        <f t="shared" si="4"/>
        <v/>
      </c>
      <c r="X15" s="22" t="str">
        <f>IF(W15="","",SUMPRODUCT(--(W15&gt;=المساطر!$F$34:$F$43)))</f>
        <v/>
      </c>
      <c r="Y15" s="22" t="str">
        <f t="shared" si="5"/>
        <v/>
      </c>
      <c r="Z15" s="21" t="str">
        <f t="shared" si="6"/>
        <v/>
      </c>
      <c r="AA15" s="4" t="str">
        <f t="shared" si="7"/>
        <v/>
      </c>
      <c r="AB15" s="21" t="str">
        <f t="shared" si="8"/>
        <v/>
      </c>
      <c r="AC15" s="22" t="str">
        <f t="shared" si="9"/>
        <v/>
      </c>
    </row>
    <row r="16" spans="1:30">
      <c r="A16" s="19">
        <v>11</v>
      </c>
      <c r="B16" s="5"/>
      <c r="C16" s="5"/>
      <c r="D16" s="5"/>
      <c r="E16" s="20"/>
      <c r="F16" s="20"/>
      <c r="G16" s="21" t="str">
        <f t="shared" si="0"/>
        <v/>
      </c>
      <c r="H16" s="22" t="str">
        <f>IF(G16="","",SUMPRODUCT(--(G16&gt;=المساطر!$B$34:$B$43)))</f>
        <v/>
      </c>
      <c r="I16" s="20"/>
      <c r="J16" s="20"/>
      <c r="K16" s="21" t="str">
        <f t="shared" si="1"/>
        <v/>
      </c>
      <c r="L16" s="22" t="str">
        <f>IF(K16="","",SUMPRODUCT(--(K16&gt;=المساطر!$C$34:$C$43)))</f>
        <v/>
      </c>
      <c r="M16" s="20"/>
      <c r="N16" s="20"/>
      <c r="O16" s="21" t="str">
        <f t="shared" si="2"/>
        <v/>
      </c>
      <c r="P16" s="22" t="str">
        <f>IF(O16="","",SUMPRODUCT(--(O16&gt;=المساطر!$D$34:$D$43)))</f>
        <v/>
      </c>
      <c r="Q16" s="12"/>
      <c r="R16" s="12"/>
      <c r="S16" s="23" t="str">
        <f t="shared" si="3"/>
        <v/>
      </c>
      <c r="T16" s="22" t="str">
        <f>IF(S16="","",SUMPRODUCT(--(S16&lt;=المساطر!$E$34:$E$43)))</f>
        <v/>
      </c>
      <c r="U16" s="20"/>
      <c r="V16" s="20"/>
      <c r="W16" s="21" t="str">
        <f t="shared" si="4"/>
        <v/>
      </c>
      <c r="X16" s="22" t="str">
        <f>IF(W16="","",SUMPRODUCT(--(W16&gt;=المساطر!$F$34:$F$43)))</f>
        <v/>
      </c>
      <c r="Y16" s="22" t="str">
        <f t="shared" si="5"/>
        <v/>
      </c>
      <c r="Z16" s="21" t="str">
        <f t="shared" si="6"/>
        <v/>
      </c>
      <c r="AA16" s="4" t="str">
        <f t="shared" si="7"/>
        <v/>
      </c>
      <c r="AB16" s="21" t="str">
        <f t="shared" si="8"/>
        <v/>
      </c>
      <c r="AC16" s="22" t="str">
        <f t="shared" si="9"/>
        <v/>
      </c>
    </row>
    <row r="17" spans="1:29">
      <c r="A17" s="19">
        <v>12</v>
      </c>
      <c r="B17" s="5"/>
      <c r="C17" s="5"/>
      <c r="D17" s="5"/>
      <c r="E17" s="20"/>
      <c r="F17" s="20"/>
      <c r="G17" s="21" t="str">
        <f t="shared" si="0"/>
        <v/>
      </c>
      <c r="H17" s="22" t="str">
        <f>IF(G17="","",SUMPRODUCT(--(G17&gt;=المساطر!$B$34:$B$43)))</f>
        <v/>
      </c>
      <c r="I17" s="20"/>
      <c r="J17" s="20"/>
      <c r="K17" s="21" t="str">
        <f t="shared" si="1"/>
        <v/>
      </c>
      <c r="L17" s="22" t="str">
        <f>IF(K17="","",SUMPRODUCT(--(K17&gt;=المساطر!$C$34:$C$43)))</f>
        <v/>
      </c>
      <c r="M17" s="20"/>
      <c r="N17" s="20"/>
      <c r="O17" s="21" t="str">
        <f t="shared" si="2"/>
        <v/>
      </c>
      <c r="P17" s="22" t="str">
        <f>IF(O17="","",SUMPRODUCT(--(O17&gt;=المساطر!$D$34:$D$43)))</f>
        <v/>
      </c>
      <c r="Q17" s="12"/>
      <c r="R17" s="12"/>
      <c r="S17" s="23" t="str">
        <f t="shared" si="3"/>
        <v/>
      </c>
      <c r="T17" s="22" t="str">
        <f>IF(S17="","",SUMPRODUCT(--(S17&lt;=المساطر!$E$34:$E$43)))</f>
        <v/>
      </c>
      <c r="U17" s="20"/>
      <c r="V17" s="20"/>
      <c r="W17" s="21" t="str">
        <f t="shared" si="4"/>
        <v/>
      </c>
      <c r="X17" s="22" t="str">
        <f>IF(W17="","",SUMPRODUCT(--(W17&gt;=المساطر!$F$34:$F$43)))</f>
        <v/>
      </c>
      <c r="Y17" s="22" t="str">
        <f t="shared" si="5"/>
        <v/>
      </c>
      <c r="Z17" s="21" t="str">
        <f t="shared" si="6"/>
        <v/>
      </c>
      <c r="AA17" s="4" t="str">
        <f t="shared" si="7"/>
        <v/>
      </c>
      <c r="AB17" s="21" t="str">
        <f t="shared" si="8"/>
        <v/>
      </c>
      <c r="AC17" s="22" t="str">
        <f t="shared" si="9"/>
        <v/>
      </c>
    </row>
    <row r="18" spans="1:29">
      <c r="A18" s="19">
        <v>13</v>
      </c>
      <c r="B18" s="5"/>
      <c r="C18" s="5"/>
      <c r="D18" s="5"/>
      <c r="E18" s="20"/>
      <c r="F18" s="20"/>
      <c r="G18" s="21" t="str">
        <f t="shared" si="0"/>
        <v/>
      </c>
      <c r="H18" s="22" t="str">
        <f>IF(G18="","",SUMPRODUCT(--(G18&gt;=المساطر!$B$34:$B$43)))</f>
        <v/>
      </c>
      <c r="I18" s="20"/>
      <c r="J18" s="20"/>
      <c r="K18" s="21" t="str">
        <f t="shared" si="1"/>
        <v/>
      </c>
      <c r="L18" s="22" t="str">
        <f>IF(K18="","",SUMPRODUCT(--(K18&gt;=المساطر!$C$34:$C$43)))</f>
        <v/>
      </c>
      <c r="M18" s="20"/>
      <c r="N18" s="20"/>
      <c r="O18" s="21" t="str">
        <f t="shared" si="2"/>
        <v/>
      </c>
      <c r="P18" s="22" t="str">
        <f>IF(O18="","",SUMPRODUCT(--(O18&gt;=المساطر!$D$34:$D$43)))</f>
        <v/>
      </c>
      <c r="Q18" s="12"/>
      <c r="R18" s="12"/>
      <c r="S18" s="23" t="str">
        <f t="shared" si="3"/>
        <v/>
      </c>
      <c r="T18" s="22" t="str">
        <f>IF(S18="","",SUMPRODUCT(--(S18&lt;=المساطر!$E$34:$E$43)))</f>
        <v/>
      </c>
      <c r="U18" s="20"/>
      <c r="V18" s="20"/>
      <c r="W18" s="21" t="str">
        <f t="shared" si="4"/>
        <v/>
      </c>
      <c r="X18" s="22" t="str">
        <f>IF(W18="","",SUMPRODUCT(--(W18&gt;=المساطر!$F$34:$F$43)))</f>
        <v/>
      </c>
      <c r="Y18" s="22" t="str">
        <f t="shared" si="5"/>
        <v/>
      </c>
      <c r="Z18" s="21" t="str">
        <f t="shared" si="6"/>
        <v/>
      </c>
      <c r="AA18" s="4" t="str">
        <f t="shared" si="7"/>
        <v/>
      </c>
      <c r="AB18" s="21" t="str">
        <f t="shared" si="8"/>
        <v/>
      </c>
      <c r="AC18" s="22" t="str">
        <f t="shared" si="9"/>
        <v/>
      </c>
    </row>
    <row r="19" spans="1:29">
      <c r="A19" s="19">
        <v>14</v>
      </c>
      <c r="B19" s="5"/>
      <c r="C19" s="5"/>
      <c r="D19" s="5"/>
      <c r="E19" s="20"/>
      <c r="F19" s="20"/>
      <c r="G19" s="21" t="str">
        <f t="shared" si="0"/>
        <v/>
      </c>
      <c r="H19" s="22" t="str">
        <f>IF(G19="","",SUMPRODUCT(--(G19&gt;=المساطر!$B$34:$B$43)))</f>
        <v/>
      </c>
      <c r="I19" s="20"/>
      <c r="J19" s="20"/>
      <c r="K19" s="21" t="str">
        <f t="shared" si="1"/>
        <v/>
      </c>
      <c r="L19" s="22" t="str">
        <f>IF(K19="","",SUMPRODUCT(--(K19&gt;=المساطر!$C$34:$C$43)))</f>
        <v/>
      </c>
      <c r="M19" s="20"/>
      <c r="N19" s="20"/>
      <c r="O19" s="21" t="str">
        <f t="shared" si="2"/>
        <v/>
      </c>
      <c r="P19" s="22" t="str">
        <f>IF(O19="","",SUMPRODUCT(--(O19&gt;=المساطر!$D$34:$D$43)))</f>
        <v/>
      </c>
      <c r="Q19" s="12"/>
      <c r="R19" s="12"/>
      <c r="S19" s="23" t="str">
        <f t="shared" si="3"/>
        <v/>
      </c>
      <c r="T19" s="22" t="str">
        <f>IF(S19="","",SUMPRODUCT(--(S19&lt;=المساطر!$E$34:$E$43)))</f>
        <v/>
      </c>
      <c r="U19" s="20"/>
      <c r="V19" s="20"/>
      <c r="W19" s="21" t="str">
        <f t="shared" si="4"/>
        <v/>
      </c>
      <c r="X19" s="22" t="str">
        <f>IF(W19="","",SUMPRODUCT(--(W19&gt;=المساطر!$F$34:$F$43)))</f>
        <v/>
      </c>
      <c r="Y19" s="22" t="str">
        <f t="shared" si="5"/>
        <v/>
      </c>
      <c r="Z19" s="21" t="str">
        <f t="shared" si="6"/>
        <v/>
      </c>
      <c r="AA19" s="4" t="str">
        <f t="shared" si="7"/>
        <v/>
      </c>
      <c r="AB19" s="21" t="str">
        <f t="shared" si="8"/>
        <v/>
      </c>
      <c r="AC19" s="22" t="str">
        <f t="shared" si="9"/>
        <v/>
      </c>
    </row>
    <row r="20" spans="1:29">
      <c r="A20" s="19">
        <v>15</v>
      </c>
      <c r="B20" s="5"/>
      <c r="C20" s="5"/>
      <c r="D20" s="5"/>
      <c r="E20" s="20"/>
      <c r="F20" s="20"/>
      <c r="G20" s="21" t="str">
        <f t="shared" si="0"/>
        <v/>
      </c>
      <c r="H20" s="22" t="str">
        <f>IF(G20="","",SUMPRODUCT(--(G20&gt;=المساطر!$B$34:$B$43)))</f>
        <v/>
      </c>
      <c r="I20" s="20"/>
      <c r="J20" s="20"/>
      <c r="K20" s="21" t="str">
        <f t="shared" si="1"/>
        <v/>
      </c>
      <c r="L20" s="22" t="str">
        <f>IF(K20="","",SUMPRODUCT(--(K20&gt;=المساطر!$C$34:$C$43)))</f>
        <v/>
      </c>
      <c r="M20" s="20"/>
      <c r="N20" s="20"/>
      <c r="O20" s="21" t="str">
        <f t="shared" si="2"/>
        <v/>
      </c>
      <c r="P20" s="22" t="str">
        <f>IF(O20="","",SUMPRODUCT(--(O20&gt;=المساطر!$D$34:$D$43)))</f>
        <v/>
      </c>
      <c r="Q20" s="12"/>
      <c r="R20" s="12"/>
      <c r="S20" s="23" t="str">
        <f t="shared" si="3"/>
        <v/>
      </c>
      <c r="T20" s="22" t="str">
        <f>IF(S20="","",SUMPRODUCT(--(S20&lt;=المساطر!$E$34:$E$43)))</f>
        <v/>
      </c>
      <c r="U20" s="20"/>
      <c r="V20" s="20"/>
      <c r="W20" s="21" t="str">
        <f t="shared" si="4"/>
        <v/>
      </c>
      <c r="X20" s="22" t="str">
        <f>IF(W20="","",SUMPRODUCT(--(W20&gt;=المساطر!$F$34:$F$43)))</f>
        <v/>
      </c>
      <c r="Y20" s="22" t="str">
        <f t="shared" si="5"/>
        <v/>
      </c>
      <c r="Z20" s="21" t="str">
        <f t="shared" si="6"/>
        <v/>
      </c>
      <c r="AA20" s="4" t="str">
        <f t="shared" si="7"/>
        <v/>
      </c>
      <c r="AB20" s="21" t="str">
        <f t="shared" si="8"/>
        <v/>
      </c>
      <c r="AC20" s="22" t="str">
        <f t="shared" si="9"/>
        <v/>
      </c>
    </row>
    <row r="21" spans="1:29">
      <c r="A21" s="19">
        <v>16</v>
      </c>
      <c r="B21" s="5"/>
      <c r="C21" s="5"/>
      <c r="D21" s="5"/>
      <c r="E21" s="20"/>
      <c r="F21" s="20"/>
      <c r="G21" s="21" t="str">
        <f t="shared" si="0"/>
        <v/>
      </c>
      <c r="H21" s="22" t="str">
        <f>IF(G21="","",SUMPRODUCT(--(G21&gt;=المساطر!$B$34:$B$43)))</f>
        <v/>
      </c>
      <c r="I21" s="20"/>
      <c r="J21" s="20"/>
      <c r="K21" s="21" t="str">
        <f t="shared" si="1"/>
        <v/>
      </c>
      <c r="L21" s="22" t="str">
        <f>IF(K21="","",SUMPRODUCT(--(K21&gt;=المساطر!$C$34:$C$43)))</f>
        <v/>
      </c>
      <c r="M21" s="20"/>
      <c r="N21" s="20"/>
      <c r="O21" s="21" t="str">
        <f t="shared" si="2"/>
        <v/>
      </c>
      <c r="P21" s="22" t="str">
        <f>IF(O21="","",SUMPRODUCT(--(O21&gt;=المساطر!$D$34:$D$43)))</f>
        <v/>
      </c>
      <c r="Q21" s="12"/>
      <c r="R21" s="12"/>
      <c r="S21" s="23" t="str">
        <f t="shared" si="3"/>
        <v/>
      </c>
      <c r="T21" s="22" t="str">
        <f>IF(S21="","",SUMPRODUCT(--(S21&lt;=المساطر!$E$34:$E$43)))</f>
        <v/>
      </c>
      <c r="U21" s="20"/>
      <c r="V21" s="20"/>
      <c r="W21" s="21" t="str">
        <f t="shared" si="4"/>
        <v/>
      </c>
      <c r="X21" s="22" t="str">
        <f>IF(W21="","",SUMPRODUCT(--(W21&gt;=المساطر!$F$34:$F$43)))</f>
        <v/>
      </c>
      <c r="Y21" s="22" t="str">
        <f t="shared" si="5"/>
        <v/>
      </c>
      <c r="Z21" s="21" t="str">
        <f t="shared" si="6"/>
        <v/>
      </c>
      <c r="AA21" s="4" t="str">
        <f t="shared" si="7"/>
        <v/>
      </c>
      <c r="AB21" s="21" t="str">
        <f t="shared" si="8"/>
        <v/>
      </c>
      <c r="AC21" s="22" t="str">
        <f t="shared" si="9"/>
        <v/>
      </c>
    </row>
    <row r="22" spans="1:29">
      <c r="A22" s="19">
        <v>17</v>
      </c>
      <c r="B22" s="5"/>
      <c r="C22" s="5"/>
      <c r="D22" s="5"/>
      <c r="E22" s="20"/>
      <c r="F22" s="20"/>
      <c r="G22" s="21" t="str">
        <f t="shared" si="0"/>
        <v/>
      </c>
      <c r="H22" s="22" t="str">
        <f>IF(G22="","",SUMPRODUCT(--(G22&gt;=المساطر!$B$34:$B$43)))</f>
        <v/>
      </c>
      <c r="I22" s="20"/>
      <c r="J22" s="20"/>
      <c r="K22" s="21" t="str">
        <f t="shared" si="1"/>
        <v/>
      </c>
      <c r="L22" s="22" t="str">
        <f>IF(K22="","",SUMPRODUCT(--(K22&gt;=المساطر!$C$34:$C$43)))</f>
        <v/>
      </c>
      <c r="M22" s="20"/>
      <c r="N22" s="20"/>
      <c r="O22" s="21" t="str">
        <f t="shared" si="2"/>
        <v/>
      </c>
      <c r="P22" s="22" t="str">
        <f>IF(O22="","",SUMPRODUCT(--(O22&gt;=المساطر!$D$34:$D$43)))</f>
        <v/>
      </c>
      <c r="Q22" s="12"/>
      <c r="R22" s="12"/>
      <c r="S22" s="23" t="str">
        <f t="shared" si="3"/>
        <v/>
      </c>
      <c r="T22" s="22" t="str">
        <f>IF(S22="","",SUMPRODUCT(--(S22&lt;=المساطر!$E$34:$E$43)))</f>
        <v/>
      </c>
      <c r="U22" s="20"/>
      <c r="V22" s="20"/>
      <c r="W22" s="21" t="str">
        <f t="shared" si="4"/>
        <v/>
      </c>
      <c r="X22" s="22" t="str">
        <f>IF(W22="","",SUMPRODUCT(--(W22&gt;=المساطر!$F$34:$F$43)))</f>
        <v/>
      </c>
      <c r="Y22" s="22" t="str">
        <f t="shared" si="5"/>
        <v/>
      </c>
      <c r="Z22" s="21" t="str">
        <f t="shared" si="6"/>
        <v/>
      </c>
      <c r="AA22" s="4" t="str">
        <f t="shared" si="7"/>
        <v/>
      </c>
      <c r="AB22" s="21" t="str">
        <f t="shared" si="8"/>
        <v/>
      </c>
      <c r="AC22" s="22" t="str">
        <f t="shared" si="9"/>
        <v/>
      </c>
    </row>
    <row r="23" spans="1:29">
      <c r="A23" s="19">
        <v>18</v>
      </c>
      <c r="B23" s="5"/>
      <c r="C23" s="5"/>
      <c r="D23" s="5"/>
      <c r="E23" s="20"/>
      <c r="F23" s="20"/>
      <c r="G23" s="21" t="str">
        <f t="shared" si="0"/>
        <v/>
      </c>
      <c r="H23" s="22" t="str">
        <f>IF(G23="","",SUMPRODUCT(--(G23&gt;=المساطر!$B$34:$B$43)))</f>
        <v/>
      </c>
      <c r="I23" s="20"/>
      <c r="J23" s="20"/>
      <c r="K23" s="21" t="str">
        <f t="shared" si="1"/>
        <v/>
      </c>
      <c r="L23" s="22" t="str">
        <f>IF(K23="","",SUMPRODUCT(--(K23&gt;=المساطر!$C$34:$C$43)))</f>
        <v/>
      </c>
      <c r="M23" s="20"/>
      <c r="N23" s="20"/>
      <c r="O23" s="21" t="str">
        <f t="shared" si="2"/>
        <v/>
      </c>
      <c r="P23" s="22" t="str">
        <f>IF(O23="","",SUMPRODUCT(--(O23&gt;=المساطر!$D$34:$D$43)))</f>
        <v/>
      </c>
      <c r="Q23" s="12"/>
      <c r="R23" s="12"/>
      <c r="S23" s="23" t="str">
        <f t="shared" si="3"/>
        <v/>
      </c>
      <c r="T23" s="22" t="str">
        <f>IF(S23="","",SUMPRODUCT(--(S23&lt;=المساطر!$E$34:$E$43)))</f>
        <v/>
      </c>
      <c r="U23" s="20"/>
      <c r="V23" s="20"/>
      <c r="W23" s="21" t="str">
        <f t="shared" si="4"/>
        <v/>
      </c>
      <c r="X23" s="22" t="str">
        <f>IF(W23="","",SUMPRODUCT(--(W23&gt;=المساطر!$F$34:$F$43)))</f>
        <v/>
      </c>
      <c r="Y23" s="22" t="str">
        <f t="shared" si="5"/>
        <v/>
      </c>
      <c r="Z23" s="21" t="str">
        <f t="shared" si="6"/>
        <v/>
      </c>
      <c r="AA23" s="4" t="str">
        <f t="shared" si="7"/>
        <v/>
      </c>
      <c r="AB23" s="21" t="str">
        <f t="shared" si="8"/>
        <v/>
      </c>
      <c r="AC23" s="22" t="str">
        <f t="shared" si="9"/>
        <v/>
      </c>
    </row>
    <row r="24" spans="1:29">
      <c r="A24" s="19">
        <v>19</v>
      </c>
      <c r="B24" s="5"/>
      <c r="C24" s="5"/>
      <c r="D24" s="5"/>
      <c r="E24" s="20"/>
      <c r="F24" s="20"/>
      <c r="G24" s="21" t="str">
        <f t="shared" si="0"/>
        <v/>
      </c>
      <c r="H24" s="22" t="str">
        <f>IF(G24="","",SUMPRODUCT(--(G24&gt;=المساطر!$B$34:$B$43)))</f>
        <v/>
      </c>
      <c r="I24" s="20"/>
      <c r="J24" s="20"/>
      <c r="K24" s="21" t="str">
        <f t="shared" si="1"/>
        <v/>
      </c>
      <c r="L24" s="22" t="str">
        <f>IF(K24="","",SUMPRODUCT(--(K24&gt;=المساطر!$C$34:$C$43)))</f>
        <v/>
      </c>
      <c r="M24" s="20"/>
      <c r="N24" s="20"/>
      <c r="O24" s="21" t="str">
        <f t="shared" si="2"/>
        <v/>
      </c>
      <c r="P24" s="22" t="str">
        <f>IF(O24="","",SUMPRODUCT(--(O24&gt;=المساطر!$D$34:$D$43)))</f>
        <v/>
      </c>
      <c r="Q24" s="12"/>
      <c r="R24" s="12"/>
      <c r="S24" s="23" t="str">
        <f t="shared" si="3"/>
        <v/>
      </c>
      <c r="T24" s="22" t="str">
        <f>IF(S24="","",SUMPRODUCT(--(S24&lt;=المساطر!$E$34:$E$43)))</f>
        <v/>
      </c>
      <c r="U24" s="20"/>
      <c r="V24" s="20"/>
      <c r="W24" s="21" t="str">
        <f t="shared" si="4"/>
        <v/>
      </c>
      <c r="X24" s="22" t="str">
        <f>IF(W24="","",SUMPRODUCT(--(W24&gt;=المساطر!$F$34:$F$43)))</f>
        <v/>
      </c>
      <c r="Y24" s="22" t="str">
        <f t="shared" si="5"/>
        <v/>
      </c>
      <c r="Z24" s="21" t="str">
        <f t="shared" si="6"/>
        <v/>
      </c>
      <c r="AA24" s="4" t="str">
        <f t="shared" si="7"/>
        <v/>
      </c>
      <c r="AB24" s="21" t="str">
        <f t="shared" si="8"/>
        <v/>
      </c>
      <c r="AC24" s="22" t="str">
        <f t="shared" si="9"/>
        <v/>
      </c>
    </row>
    <row r="25" spans="1:29">
      <c r="A25" s="19">
        <v>20</v>
      </c>
      <c r="B25" s="5"/>
      <c r="C25" s="5"/>
      <c r="D25" s="5"/>
      <c r="E25" s="20"/>
      <c r="F25" s="20"/>
      <c r="G25" s="21" t="str">
        <f t="shared" si="0"/>
        <v/>
      </c>
      <c r="H25" s="22" t="str">
        <f>IF(G25="","",SUMPRODUCT(--(G25&gt;=المساطر!$B$34:$B$43)))</f>
        <v/>
      </c>
      <c r="I25" s="20"/>
      <c r="J25" s="20"/>
      <c r="K25" s="21" t="str">
        <f t="shared" si="1"/>
        <v/>
      </c>
      <c r="L25" s="22" t="str">
        <f>IF(K25="","",SUMPRODUCT(--(K25&gt;=المساطر!$C$34:$C$43)))</f>
        <v/>
      </c>
      <c r="M25" s="20"/>
      <c r="N25" s="20"/>
      <c r="O25" s="21" t="str">
        <f t="shared" si="2"/>
        <v/>
      </c>
      <c r="P25" s="22" t="str">
        <f>IF(O25="","",SUMPRODUCT(--(O25&gt;=المساطر!$D$34:$D$43)))</f>
        <v/>
      </c>
      <c r="Q25" s="12"/>
      <c r="R25" s="12"/>
      <c r="S25" s="23" t="str">
        <f t="shared" si="3"/>
        <v/>
      </c>
      <c r="T25" s="22" t="str">
        <f>IF(S25="","",SUMPRODUCT(--(S25&lt;=المساطر!$E$34:$E$43)))</f>
        <v/>
      </c>
      <c r="U25" s="20"/>
      <c r="V25" s="20"/>
      <c r="W25" s="21" t="str">
        <f t="shared" si="4"/>
        <v/>
      </c>
      <c r="X25" s="22" t="str">
        <f>IF(W25="","",SUMPRODUCT(--(W25&gt;=المساطر!$F$34:$F$43)))</f>
        <v/>
      </c>
      <c r="Y25" s="22" t="str">
        <f t="shared" si="5"/>
        <v/>
      </c>
      <c r="Z25" s="21" t="str">
        <f t="shared" si="6"/>
        <v/>
      </c>
      <c r="AA25" s="4" t="str">
        <f t="shared" si="7"/>
        <v/>
      </c>
      <c r="AB25" s="21" t="str">
        <f t="shared" si="8"/>
        <v/>
      </c>
      <c r="AC25" s="22" t="str">
        <f t="shared" si="9"/>
        <v/>
      </c>
    </row>
    <row r="26" spans="1:29">
      <c r="A26" s="19">
        <v>21</v>
      </c>
      <c r="B26" s="5"/>
      <c r="C26" s="5"/>
      <c r="D26" s="5"/>
      <c r="E26" s="20"/>
      <c r="F26" s="20"/>
      <c r="G26" s="21" t="str">
        <f t="shared" si="0"/>
        <v/>
      </c>
      <c r="H26" s="22" t="str">
        <f>IF(G26="","",SUMPRODUCT(--(G26&gt;=المساطر!$B$34:$B$43)))</f>
        <v/>
      </c>
      <c r="I26" s="20"/>
      <c r="J26" s="20"/>
      <c r="K26" s="21" t="str">
        <f t="shared" si="1"/>
        <v/>
      </c>
      <c r="L26" s="22" t="str">
        <f>IF(K26="","",SUMPRODUCT(--(K26&gt;=المساطر!$C$34:$C$43)))</f>
        <v/>
      </c>
      <c r="M26" s="20"/>
      <c r="N26" s="20"/>
      <c r="O26" s="21" t="str">
        <f t="shared" si="2"/>
        <v/>
      </c>
      <c r="P26" s="22" t="str">
        <f>IF(O26="","",SUMPRODUCT(--(O26&gt;=المساطر!$D$34:$D$43)))</f>
        <v/>
      </c>
      <c r="Q26" s="12"/>
      <c r="R26" s="12"/>
      <c r="S26" s="23" t="str">
        <f t="shared" si="3"/>
        <v/>
      </c>
      <c r="T26" s="22" t="str">
        <f>IF(S26="","",SUMPRODUCT(--(S26&lt;=المساطر!$E$34:$E$43)))</f>
        <v/>
      </c>
      <c r="U26" s="20"/>
      <c r="V26" s="20"/>
      <c r="W26" s="21" t="str">
        <f t="shared" si="4"/>
        <v/>
      </c>
      <c r="X26" s="22" t="str">
        <f>IF(W26="","",SUMPRODUCT(--(W26&gt;=المساطر!$F$34:$F$43)))</f>
        <v/>
      </c>
      <c r="Y26" s="22" t="str">
        <f t="shared" si="5"/>
        <v/>
      </c>
      <c r="Z26" s="21" t="str">
        <f t="shared" si="6"/>
        <v/>
      </c>
      <c r="AA26" s="4" t="str">
        <f t="shared" si="7"/>
        <v/>
      </c>
      <c r="AB26" s="21" t="str">
        <f t="shared" si="8"/>
        <v/>
      </c>
      <c r="AC26" s="22" t="str">
        <f t="shared" si="9"/>
        <v/>
      </c>
    </row>
    <row r="27" spans="1:29">
      <c r="A27" s="19">
        <v>22</v>
      </c>
      <c r="B27" s="5"/>
      <c r="C27" s="5"/>
      <c r="D27" s="5"/>
      <c r="E27" s="20"/>
      <c r="F27" s="20"/>
      <c r="G27" s="21" t="str">
        <f t="shared" si="0"/>
        <v/>
      </c>
      <c r="H27" s="22" t="str">
        <f>IF(G27="","",SUMPRODUCT(--(G27&gt;=المساطر!$B$34:$B$43)))</f>
        <v/>
      </c>
      <c r="I27" s="20"/>
      <c r="J27" s="20"/>
      <c r="K27" s="21" t="str">
        <f t="shared" si="1"/>
        <v/>
      </c>
      <c r="L27" s="22" t="str">
        <f>IF(K27="","",SUMPRODUCT(--(K27&gt;=المساطر!$C$34:$C$43)))</f>
        <v/>
      </c>
      <c r="M27" s="20"/>
      <c r="N27" s="20"/>
      <c r="O27" s="21" t="str">
        <f t="shared" si="2"/>
        <v/>
      </c>
      <c r="P27" s="22" t="str">
        <f>IF(O27="","",SUMPRODUCT(--(O27&gt;=المساطر!$D$34:$D$43)))</f>
        <v/>
      </c>
      <c r="Q27" s="12"/>
      <c r="R27" s="12"/>
      <c r="S27" s="23" t="str">
        <f t="shared" si="3"/>
        <v/>
      </c>
      <c r="T27" s="22" t="str">
        <f>IF(S27="","",SUMPRODUCT(--(S27&lt;=المساطر!$E$34:$E$43)))</f>
        <v/>
      </c>
      <c r="U27" s="20"/>
      <c r="V27" s="20"/>
      <c r="W27" s="21" t="str">
        <f t="shared" si="4"/>
        <v/>
      </c>
      <c r="X27" s="22" t="str">
        <f>IF(W27="","",SUMPRODUCT(--(W27&gt;=المساطر!$F$34:$F$43)))</f>
        <v/>
      </c>
      <c r="Y27" s="22" t="str">
        <f t="shared" si="5"/>
        <v/>
      </c>
      <c r="Z27" s="21" t="str">
        <f t="shared" si="6"/>
        <v/>
      </c>
      <c r="AA27" s="4" t="str">
        <f t="shared" si="7"/>
        <v/>
      </c>
      <c r="AB27" s="21" t="str">
        <f t="shared" si="8"/>
        <v/>
      </c>
      <c r="AC27" s="22" t="str">
        <f t="shared" si="9"/>
        <v/>
      </c>
    </row>
    <row r="28" spans="1:29">
      <c r="A28" s="19">
        <v>23</v>
      </c>
      <c r="B28" s="5"/>
      <c r="C28" s="5"/>
      <c r="D28" s="5"/>
      <c r="E28" s="20"/>
      <c r="F28" s="20"/>
      <c r="G28" s="21" t="str">
        <f t="shared" si="0"/>
        <v/>
      </c>
      <c r="H28" s="22" t="str">
        <f>IF(G28="","",SUMPRODUCT(--(G28&gt;=المساطر!$B$34:$B$43)))</f>
        <v/>
      </c>
      <c r="I28" s="20"/>
      <c r="J28" s="20"/>
      <c r="K28" s="21" t="str">
        <f t="shared" si="1"/>
        <v/>
      </c>
      <c r="L28" s="22" t="str">
        <f>IF(K28="","",SUMPRODUCT(--(K28&gt;=المساطر!$C$34:$C$43)))</f>
        <v/>
      </c>
      <c r="M28" s="20"/>
      <c r="N28" s="20"/>
      <c r="O28" s="21" t="str">
        <f t="shared" si="2"/>
        <v/>
      </c>
      <c r="P28" s="22" t="str">
        <f>IF(O28="","",SUMPRODUCT(--(O28&gt;=المساطر!$D$34:$D$43)))</f>
        <v/>
      </c>
      <c r="Q28" s="12"/>
      <c r="R28" s="12"/>
      <c r="S28" s="23" t="str">
        <f t="shared" si="3"/>
        <v/>
      </c>
      <c r="T28" s="22" t="str">
        <f>IF(S28="","",SUMPRODUCT(--(S28&lt;=المساطر!$E$34:$E$43)))</f>
        <v/>
      </c>
      <c r="U28" s="20"/>
      <c r="V28" s="20"/>
      <c r="W28" s="21" t="str">
        <f t="shared" si="4"/>
        <v/>
      </c>
      <c r="X28" s="22" t="str">
        <f>IF(W28="","",SUMPRODUCT(--(W28&gt;=المساطر!$F$34:$F$43)))</f>
        <v/>
      </c>
      <c r="Y28" s="22" t="str">
        <f t="shared" si="5"/>
        <v/>
      </c>
      <c r="Z28" s="21" t="str">
        <f t="shared" si="6"/>
        <v/>
      </c>
      <c r="AA28" s="4" t="str">
        <f t="shared" si="7"/>
        <v/>
      </c>
      <c r="AB28" s="21" t="str">
        <f t="shared" si="8"/>
        <v/>
      </c>
      <c r="AC28" s="22" t="str">
        <f t="shared" si="9"/>
        <v/>
      </c>
    </row>
    <row r="29" spans="1:29">
      <c r="A29" s="19">
        <v>24</v>
      </c>
      <c r="B29" s="5"/>
      <c r="C29" s="5"/>
      <c r="D29" s="5"/>
      <c r="E29" s="20"/>
      <c r="F29" s="20"/>
      <c r="G29" s="21" t="str">
        <f t="shared" si="0"/>
        <v/>
      </c>
      <c r="H29" s="22" t="str">
        <f>IF(G29="","",SUMPRODUCT(--(G29&gt;=المساطر!$B$34:$B$43)))</f>
        <v/>
      </c>
      <c r="I29" s="20"/>
      <c r="J29" s="20"/>
      <c r="K29" s="21" t="str">
        <f t="shared" si="1"/>
        <v/>
      </c>
      <c r="L29" s="22" t="str">
        <f>IF(K29="","",SUMPRODUCT(--(K29&gt;=المساطر!$C$34:$C$43)))</f>
        <v/>
      </c>
      <c r="M29" s="20"/>
      <c r="N29" s="20"/>
      <c r="O29" s="21" t="str">
        <f t="shared" si="2"/>
        <v/>
      </c>
      <c r="P29" s="22" t="str">
        <f>IF(O29="","",SUMPRODUCT(--(O29&gt;=المساطر!$D$34:$D$43)))</f>
        <v/>
      </c>
      <c r="Q29" s="12"/>
      <c r="R29" s="12"/>
      <c r="S29" s="23" t="str">
        <f t="shared" si="3"/>
        <v/>
      </c>
      <c r="T29" s="22" t="str">
        <f>IF(S29="","",SUMPRODUCT(--(S29&lt;=المساطر!$E$34:$E$43)))</f>
        <v/>
      </c>
      <c r="U29" s="20"/>
      <c r="V29" s="20"/>
      <c r="W29" s="21" t="str">
        <f t="shared" si="4"/>
        <v/>
      </c>
      <c r="X29" s="22" t="str">
        <f>IF(W29="","",SUMPRODUCT(--(W29&gt;=المساطر!$F$34:$F$43)))</f>
        <v/>
      </c>
      <c r="Y29" s="22" t="str">
        <f t="shared" si="5"/>
        <v/>
      </c>
      <c r="Z29" s="21" t="str">
        <f t="shared" si="6"/>
        <v/>
      </c>
      <c r="AA29" s="4" t="str">
        <f t="shared" si="7"/>
        <v/>
      </c>
      <c r="AB29" s="21" t="str">
        <f t="shared" si="8"/>
        <v/>
      </c>
      <c r="AC29" s="22" t="str">
        <f t="shared" si="9"/>
        <v/>
      </c>
    </row>
    <row r="30" spans="1:29">
      <c r="A30" s="19">
        <v>25</v>
      </c>
      <c r="B30" s="5"/>
      <c r="C30" s="5"/>
      <c r="D30" s="5"/>
      <c r="E30" s="20"/>
      <c r="F30" s="20"/>
      <c r="G30" s="21" t="str">
        <f t="shared" si="0"/>
        <v/>
      </c>
      <c r="H30" s="22" t="str">
        <f>IF(G30="","",SUMPRODUCT(--(G30&gt;=المساطر!$B$34:$B$43)))</f>
        <v/>
      </c>
      <c r="I30" s="20"/>
      <c r="J30" s="20"/>
      <c r="K30" s="21" t="str">
        <f t="shared" si="1"/>
        <v/>
      </c>
      <c r="L30" s="22" t="str">
        <f>IF(K30="","",SUMPRODUCT(--(K30&gt;=المساطر!$C$34:$C$43)))</f>
        <v/>
      </c>
      <c r="M30" s="20"/>
      <c r="N30" s="20"/>
      <c r="O30" s="21" t="str">
        <f t="shared" si="2"/>
        <v/>
      </c>
      <c r="P30" s="22" t="str">
        <f>IF(O30="","",SUMPRODUCT(--(O30&gt;=المساطر!$D$34:$D$43)))</f>
        <v/>
      </c>
      <c r="Q30" s="12"/>
      <c r="R30" s="12"/>
      <c r="S30" s="23" t="str">
        <f t="shared" si="3"/>
        <v/>
      </c>
      <c r="T30" s="22" t="str">
        <f>IF(S30="","",SUMPRODUCT(--(S30&lt;=المساطر!$E$34:$E$43)))</f>
        <v/>
      </c>
      <c r="U30" s="20"/>
      <c r="V30" s="20"/>
      <c r="W30" s="21" t="str">
        <f t="shared" si="4"/>
        <v/>
      </c>
      <c r="X30" s="22" t="str">
        <f>IF(W30="","",SUMPRODUCT(--(W30&gt;=المساطر!$F$34:$F$43)))</f>
        <v/>
      </c>
      <c r="Y30" s="22" t="str">
        <f t="shared" si="5"/>
        <v/>
      </c>
      <c r="Z30" s="21" t="str">
        <f t="shared" si="6"/>
        <v/>
      </c>
      <c r="AA30" s="4" t="str">
        <f t="shared" si="7"/>
        <v/>
      </c>
      <c r="AB30" s="21" t="str">
        <f t="shared" si="8"/>
        <v/>
      </c>
      <c r="AC30" s="22" t="str">
        <f t="shared" si="9"/>
        <v/>
      </c>
    </row>
    <row r="31" spans="1:29">
      <c r="A31" s="19">
        <v>26</v>
      </c>
      <c r="B31" s="5"/>
      <c r="C31" s="5"/>
      <c r="D31" s="5"/>
      <c r="E31" s="20"/>
      <c r="F31" s="20"/>
      <c r="G31" s="21" t="str">
        <f t="shared" si="0"/>
        <v/>
      </c>
      <c r="H31" s="22" t="str">
        <f>IF(G31="","",SUMPRODUCT(--(G31&gt;=المساطر!$B$34:$B$43)))</f>
        <v/>
      </c>
      <c r="I31" s="20"/>
      <c r="J31" s="20"/>
      <c r="K31" s="21" t="str">
        <f t="shared" si="1"/>
        <v/>
      </c>
      <c r="L31" s="22" t="str">
        <f>IF(K31="","",SUMPRODUCT(--(K31&gt;=المساطر!$C$34:$C$43)))</f>
        <v/>
      </c>
      <c r="M31" s="20"/>
      <c r="N31" s="20"/>
      <c r="O31" s="21" t="str">
        <f t="shared" si="2"/>
        <v/>
      </c>
      <c r="P31" s="22" t="str">
        <f>IF(O31="","",SUMPRODUCT(--(O31&gt;=المساطر!$D$34:$D$43)))</f>
        <v/>
      </c>
      <c r="Q31" s="12"/>
      <c r="R31" s="12"/>
      <c r="S31" s="23" t="str">
        <f t="shared" si="3"/>
        <v/>
      </c>
      <c r="T31" s="22" t="str">
        <f>IF(S31="","",SUMPRODUCT(--(S31&lt;=المساطر!$E$34:$E$43)))</f>
        <v/>
      </c>
      <c r="U31" s="20"/>
      <c r="V31" s="20"/>
      <c r="W31" s="21" t="str">
        <f t="shared" si="4"/>
        <v/>
      </c>
      <c r="X31" s="22" t="str">
        <f>IF(W31="","",SUMPRODUCT(--(W31&gt;=المساطر!$F$34:$F$43)))</f>
        <v/>
      </c>
      <c r="Y31" s="22" t="str">
        <f t="shared" si="5"/>
        <v/>
      </c>
      <c r="Z31" s="21" t="str">
        <f t="shared" si="6"/>
        <v/>
      </c>
      <c r="AA31" s="4" t="str">
        <f t="shared" si="7"/>
        <v/>
      </c>
      <c r="AB31" s="21" t="str">
        <f t="shared" si="8"/>
        <v/>
      </c>
      <c r="AC31" s="22" t="str">
        <f t="shared" si="9"/>
        <v/>
      </c>
    </row>
    <row r="32" spans="1:29">
      <c r="A32" s="19">
        <v>27</v>
      </c>
      <c r="B32" s="5"/>
      <c r="C32" s="5"/>
      <c r="D32" s="5"/>
      <c r="E32" s="20"/>
      <c r="F32" s="20"/>
      <c r="G32" s="21" t="str">
        <f t="shared" si="0"/>
        <v/>
      </c>
      <c r="H32" s="22" t="str">
        <f>IF(G32="","",SUMPRODUCT(--(G32&gt;=المساطر!$B$34:$B$43)))</f>
        <v/>
      </c>
      <c r="I32" s="20"/>
      <c r="J32" s="20"/>
      <c r="K32" s="21" t="str">
        <f t="shared" si="1"/>
        <v/>
      </c>
      <c r="L32" s="22" t="str">
        <f>IF(K32="","",SUMPRODUCT(--(K32&gt;=المساطر!$C$34:$C$43)))</f>
        <v/>
      </c>
      <c r="M32" s="20"/>
      <c r="N32" s="20"/>
      <c r="O32" s="21" t="str">
        <f t="shared" si="2"/>
        <v/>
      </c>
      <c r="P32" s="22" t="str">
        <f>IF(O32="","",SUMPRODUCT(--(O32&gt;=المساطر!$D$34:$D$43)))</f>
        <v/>
      </c>
      <c r="Q32" s="12"/>
      <c r="R32" s="12"/>
      <c r="S32" s="23" t="str">
        <f t="shared" si="3"/>
        <v/>
      </c>
      <c r="T32" s="22" t="str">
        <f>IF(S32="","",SUMPRODUCT(--(S32&lt;=المساطر!$E$34:$E$43)))</f>
        <v/>
      </c>
      <c r="U32" s="20"/>
      <c r="V32" s="20"/>
      <c r="W32" s="21" t="str">
        <f t="shared" si="4"/>
        <v/>
      </c>
      <c r="X32" s="22" t="str">
        <f>IF(W32="","",SUMPRODUCT(--(W32&gt;=المساطر!$F$34:$F$43)))</f>
        <v/>
      </c>
      <c r="Y32" s="22" t="str">
        <f t="shared" si="5"/>
        <v/>
      </c>
      <c r="Z32" s="21" t="str">
        <f t="shared" si="6"/>
        <v/>
      </c>
      <c r="AA32" s="4" t="str">
        <f t="shared" si="7"/>
        <v/>
      </c>
      <c r="AB32" s="21" t="str">
        <f t="shared" si="8"/>
        <v/>
      </c>
      <c r="AC32" s="22" t="str">
        <f t="shared" si="9"/>
        <v/>
      </c>
    </row>
    <row r="33" spans="1:30">
      <c r="A33" s="19">
        <v>28</v>
      </c>
      <c r="B33" s="5"/>
      <c r="C33" s="5"/>
      <c r="D33" s="5"/>
      <c r="E33" s="20"/>
      <c r="F33" s="20"/>
      <c r="G33" s="21" t="str">
        <f t="shared" si="0"/>
        <v/>
      </c>
      <c r="H33" s="22" t="str">
        <f>IF(G33="","",SUMPRODUCT(--(G33&gt;=المساطر!$B$34:$B$43)))</f>
        <v/>
      </c>
      <c r="I33" s="20"/>
      <c r="J33" s="20"/>
      <c r="K33" s="21" t="str">
        <f t="shared" si="1"/>
        <v/>
      </c>
      <c r="L33" s="22" t="str">
        <f>IF(K33="","",SUMPRODUCT(--(K33&gt;=المساطر!$C$34:$C$43)))</f>
        <v/>
      </c>
      <c r="M33" s="20"/>
      <c r="N33" s="20"/>
      <c r="O33" s="21" t="str">
        <f t="shared" si="2"/>
        <v/>
      </c>
      <c r="P33" s="22" t="str">
        <f>IF(O33="","",SUMPRODUCT(--(O33&gt;=المساطر!$D$34:$D$43)))</f>
        <v/>
      </c>
      <c r="Q33" s="12"/>
      <c r="R33" s="12"/>
      <c r="S33" s="23" t="str">
        <f t="shared" si="3"/>
        <v/>
      </c>
      <c r="T33" s="22" t="str">
        <f>IF(S33="","",SUMPRODUCT(--(S33&lt;=المساطر!$E$34:$E$43)))</f>
        <v/>
      </c>
      <c r="U33" s="20"/>
      <c r="V33" s="20"/>
      <c r="W33" s="21" t="str">
        <f t="shared" si="4"/>
        <v/>
      </c>
      <c r="X33" s="22" t="str">
        <f>IF(W33="","",SUMPRODUCT(--(W33&gt;=المساطر!$F$34:$F$43)))</f>
        <v/>
      </c>
      <c r="Y33" s="22" t="str">
        <f t="shared" si="5"/>
        <v/>
      </c>
      <c r="Z33" s="21" t="str">
        <f t="shared" si="6"/>
        <v/>
      </c>
      <c r="AA33" s="4" t="str">
        <f t="shared" si="7"/>
        <v/>
      </c>
      <c r="AB33" s="21" t="str">
        <f t="shared" si="8"/>
        <v/>
      </c>
      <c r="AC33" s="22" t="str">
        <f t="shared" si="9"/>
        <v/>
      </c>
    </row>
    <row r="34" spans="1:30">
      <c r="A34" s="19">
        <v>29</v>
      </c>
      <c r="B34" s="5"/>
      <c r="C34" s="5"/>
      <c r="D34" s="5"/>
      <c r="E34" s="20"/>
      <c r="F34" s="20"/>
      <c r="G34" s="21" t="str">
        <f t="shared" si="0"/>
        <v/>
      </c>
      <c r="H34" s="22" t="str">
        <f>IF(G34="","",SUMPRODUCT(--(G34&gt;=المساطر!$B$34:$B$43)))</f>
        <v/>
      </c>
      <c r="I34" s="20"/>
      <c r="J34" s="20"/>
      <c r="K34" s="21" t="str">
        <f t="shared" si="1"/>
        <v/>
      </c>
      <c r="L34" s="22" t="str">
        <f>IF(K34="","",SUMPRODUCT(--(K34&gt;=المساطر!$C$34:$C$43)))</f>
        <v/>
      </c>
      <c r="M34" s="20"/>
      <c r="N34" s="20"/>
      <c r="O34" s="21" t="str">
        <f t="shared" si="2"/>
        <v/>
      </c>
      <c r="P34" s="22" t="str">
        <f>IF(O34="","",SUMPRODUCT(--(O34&gt;=المساطر!$D$34:$D$43)))</f>
        <v/>
      </c>
      <c r="Q34" s="12"/>
      <c r="R34" s="12"/>
      <c r="S34" s="23" t="str">
        <f t="shared" si="3"/>
        <v/>
      </c>
      <c r="T34" s="22" t="str">
        <f>IF(S34="","",SUMPRODUCT(--(S34&lt;=المساطر!$E$34:$E$43)))</f>
        <v/>
      </c>
      <c r="U34" s="20"/>
      <c r="V34" s="20"/>
      <c r="W34" s="21" t="str">
        <f t="shared" si="4"/>
        <v/>
      </c>
      <c r="X34" s="22" t="str">
        <f>IF(W34="","",SUMPRODUCT(--(W34&gt;=المساطر!$F$34:$F$43)))</f>
        <v/>
      </c>
      <c r="Y34" s="22" t="str">
        <f t="shared" si="5"/>
        <v/>
      </c>
      <c r="Z34" s="21" t="str">
        <f t="shared" si="6"/>
        <v/>
      </c>
      <c r="AA34" s="4" t="str">
        <f t="shared" si="7"/>
        <v/>
      </c>
      <c r="AB34" s="21" t="str">
        <f t="shared" si="8"/>
        <v/>
      </c>
      <c r="AC34" s="22" t="str">
        <f t="shared" si="9"/>
        <v/>
      </c>
    </row>
    <row r="35" spans="1:30">
      <c r="A35" s="19">
        <v>30</v>
      </c>
      <c r="B35" s="5"/>
      <c r="C35" s="5"/>
      <c r="D35" s="5"/>
      <c r="E35" s="20"/>
      <c r="F35" s="20"/>
      <c r="G35" s="21" t="str">
        <f t="shared" si="0"/>
        <v/>
      </c>
      <c r="H35" s="22" t="str">
        <f>IF(G35="","",SUMPRODUCT(--(G35&gt;=المساطر!$B$34:$B$43)))</f>
        <v/>
      </c>
      <c r="I35" s="20"/>
      <c r="J35" s="20"/>
      <c r="K35" s="21" t="str">
        <f t="shared" si="1"/>
        <v/>
      </c>
      <c r="L35" s="22" t="str">
        <f>IF(K35="","",SUMPRODUCT(--(K35&gt;=المساطر!$C$34:$C$43)))</f>
        <v/>
      </c>
      <c r="M35" s="20"/>
      <c r="N35" s="20"/>
      <c r="O35" s="21" t="str">
        <f t="shared" si="2"/>
        <v/>
      </c>
      <c r="P35" s="22" t="str">
        <f>IF(O35="","",SUMPRODUCT(--(O35&gt;=المساطر!$D$34:$D$43)))</f>
        <v/>
      </c>
      <c r="Q35" s="12"/>
      <c r="R35" s="12"/>
      <c r="S35" s="23" t="str">
        <f t="shared" si="3"/>
        <v/>
      </c>
      <c r="T35" s="22" t="str">
        <f>IF(S35="","",SUMPRODUCT(--(S35&lt;=المساطر!$E$34:$E$43)))</f>
        <v/>
      </c>
      <c r="U35" s="20"/>
      <c r="V35" s="20"/>
      <c r="W35" s="21" t="str">
        <f t="shared" si="4"/>
        <v/>
      </c>
      <c r="X35" s="22" t="str">
        <f>IF(W35="","",SUMPRODUCT(--(W35&gt;=المساطر!$F$34:$F$43)))</f>
        <v/>
      </c>
      <c r="Y35" s="22" t="str">
        <f t="shared" si="5"/>
        <v/>
      </c>
      <c r="Z35" s="21" t="str">
        <f t="shared" si="6"/>
        <v/>
      </c>
      <c r="AA35" s="4" t="str">
        <f t="shared" si="7"/>
        <v/>
      </c>
      <c r="AB35" s="21" t="str">
        <f t="shared" si="8"/>
        <v/>
      </c>
      <c r="AC35" s="22" t="str">
        <f t="shared" si="9"/>
        <v/>
      </c>
    </row>
    <row r="36" spans="1:30">
      <c r="A36" s="19">
        <v>31</v>
      </c>
      <c r="B36" s="5"/>
      <c r="C36" s="5"/>
      <c r="D36" s="5"/>
      <c r="E36" s="20"/>
      <c r="F36" s="20"/>
      <c r="G36" s="21" t="str">
        <f t="shared" si="0"/>
        <v/>
      </c>
      <c r="H36" s="22" t="str">
        <f>IF(G36="","",SUMPRODUCT(--(G36&gt;=المساطر!$B$34:$B$43)))</f>
        <v/>
      </c>
      <c r="I36" s="20"/>
      <c r="J36" s="20"/>
      <c r="K36" s="21" t="str">
        <f t="shared" si="1"/>
        <v/>
      </c>
      <c r="L36" s="22" t="str">
        <f>IF(K36="","",SUMPRODUCT(--(K36&gt;=المساطر!$C$34:$C$43)))</f>
        <v/>
      </c>
      <c r="M36" s="20"/>
      <c r="N36" s="20"/>
      <c r="O36" s="21" t="str">
        <f t="shared" si="2"/>
        <v/>
      </c>
      <c r="P36" s="22" t="str">
        <f>IF(O36="","",SUMPRODUCT(--(O36&gt;=المساطر!$D$34:$D$43)))</f>
        <v/>
      </c>
      <c r="Q36" s="12"/>
      <c r="R36" s="12"/>
      <c r="S36" s="23" t="str">
        <f t="shared" si="3"/>
        <v/>
      </c>
      <c r="T36" s="22" t="str">
        <f>IF(S36="","",SUMPRODUCT(--(S36&lt;=المساطر!$E$34:$E$43)))</f>
        <v/>
      </c>
      <c r="U36" s="20"/>
      <c r="V36" s="20"/>
      <c r="W36" s="21" t="str">
        <f t="shared" si="4"/>
        <v/>
      </c>
      <c r="X36" s="22" t="str">
        <f>IF(W36="","",SUMPRODUCT(--(W36&gt;=المساطر!$F$34:$F$43)))</f>
        <v/>
      </c>
      <c r="Y36" s="22" t="str">
        <f t="shared" si="5"/>
        <v/>
      </c>
      <c r="Z36" s="21" t="str">
        <f t="shared" si="6"/>
        <v/>
      </c>
      <c r="AA36" s="4" t="str">
        <f t="shared" si="7"/>
        <v/>
      </c>
      <c r="AB36" s="21" t="str">
        <f t="shared" si="8"/>
        <v/>
      </c>
      <c r="AC36" s="22" t="str">
        <f t="shared" si="9"/>
        <v/>
      </c>
    </row>
    <row r="37" spans="1:30">
      <c r="A37" s="19">
        <v>32</v>
      </c>
      <c r="B37" s="5"/>
      <c r="C37" s="5"/>
      <c r="D37" s="5"/>
      <c r="E37" s="20"/>
      <c r="F37" s="20"/>
      <c r="G37" s="21" t="str">
        <f t="shared" si="0"/>
        <v/>
      </c>
      <c r="H37" s="22" t="str">
        <f>IF(G37="","",SUMPRODUCT(--(G37&gt;=المساطر!$B$34:$B$43)))</f>
        <v/>
      </c>
      <c r="I37" s="20"/>
      <c r="J37" s="20"/>
      <c r="K37" s="21" t="str">
        <f t="shared" si="1"/>
        <v/>
      </c>
      <c r="L37" s="22" t="str">
        <f>IF(K37="","",SUMPRODUCT(--(K37&gt;=المساطر!$C$34:$C$43)))</f>
        <v/>
      </c>
      <c r="M37" s="20"/>
      <c r="N37" s="20"/>
      <c r="O37" s="21" t="str">
        <f t="shared" si="2"/>
        <v/>
      </c>
      <c r="P37" s="22" t="str">
        <f>IF(O37="","",SUMPRODUCT(--(O37&gt;=المساطر!$D$34:$D$43)))</f>
        <v/>
      </c>
      <c r="Q37" s="12"/>
      <c r="R37" s="12"/>
      <c r="S37" s="23" t="str">
        <f t="shared" si="3"/>
        <v/>
      </c>
      <c r="T37" s="22" t="str">
        <f>IF(S37="","",SUMPRODUCT(--(S37&lt;=المساطر!$E$34:$E$43)))</f>
        <v/>
      </c>
      <c r="U37" s="20"/>
      <c r="V37" s="20"/>
      <c r="W37" s="21" t="str">
        <f t="shared" si="4"/>
        <v/>
      </c>
      <c r="X37" s="22" t="str">
        <f>IF(W37="","",SUMPRODUCT(--(W37&gt;=المساطر!$F$34:$F$43)))</f>
        <v/>
      </c>
      <c r="Y37" s="22" t="str">
        <f t="shared" si="5"/>
        <v/>
      </c>
      <c r="Z37" s="21" t="str">
        <f t="shared" si="6"/>
        <v/>
      </c>
      <c r="AA37" s="4" t="str">
        <f t="shared" si="7"/>
        <v/>
      </c>
      <c r="AB37" s="21" t="str">
        <f t="shared" si="8"/>
        <v/>
      </c>
      <c r="AC37" s="22" t="str">
        <f t="shared" si="9"/>
        <v/>
      </c>
    </row>
    <row r="38" spans="1:30">
      <c r="A38" s="19">
        <v>33</v>
      </c>
      <c r="B38" s="5"/>
      <c r="C38" s="5"/>
      <c r="D38" s="5"/>
      <c r="E38" s="20"/>
      <c r="F38" s="20"/>
      <c r="G38" s="21" t="str">
        <f t="shared" si="0"/>
        <v/>
      </c>
      <c r="H38" s="22" t="str">
        <f>IF(G38="","",SUMPRODUCT(--(G38&gt;=المساطر!$B$34:$B$43)))</f>
        <v/>
      </c>
      <c r="I38" s="20"/>
      <c r="J38" s="20"/>
      <c r="K38" s="21" t="str">
        <f t="shared" si="1"/>
        <v/>
      </c>
      <c r="L38" s="22" t="str">
        <f>IF(K38="","",SUMPRODUCT(--(K38&gt;=المساطر!$C$34:$C$43)))</f>
        <v/>
      </c>
      <c r="M38" s="20"/>
      <c r="N38" s="20"/>
      <c r="O38" s="21" t="str">
        <f t="shared" si="2"/>
        <v/>
      </c>
      <c r="P38" s="22" t="str">
        <f>IF(O38="","",SUMPRODUCT(--(O38&gt;=المساطر!$D$34:$D$43)))</f>
        <v/>
      </c>
      <c r="Q38" s="12"/>
      <c r="R38" s="12"/>
      <c r="S38" s="23" t="str">
        <f t="shared" si="3"/>
        <v/>
      </c>
      <c r="T38" s="22" t="str">
        <f>IF(S38="","",SUMPRODUCT(--(S38&lt;=المساطر!$E$34:$E$43)))</f>
        <v/>
      </c>
      <c r="U38" s="20"/>
      <c r="V38" s="20"/>
      <c r="W38" s="21" t="str">
        <f t="shared" si="4"/>
        <v/>
      </c>
      <c r="X38" s="22" t="str">
        <f>IF(W38="","",SUMPRODUCT(--(W38&gt;=المساطر!$F$34:$F$43)))</f>
        <v/>
      </c>
      <c r="Y38" s="22" t="str">
        <f t="shared" si="5"/>
        <v/>
      </c>
      <c r="Z38" s="21" t="str">
        <f t="shared" si="6"/>
        <v/>
      </c>
      <c r="AA38" s="4" t="str">
        <f t="shared" si="7"/>
        <v/>
      </c>
      <c r="AB38" s="21" t="str">
        <f t="shared" si="8"/>
        <v/>
      </c>
      <c r="AC38" s="22" t="str">
        <f t="shared" si="9"/>
        <v/>
      </c>
    </row>
    <row r="39" spans="1:30">
      <c r="A39" s="19">
        <v>34</v>
      </c>
      <c r="B39" s="5"/>
      <c r="C39" s="5"/>
      <c r="D39" s="5"/>
      <c r="E39" s="20"/>
      <c r="F39" s="20"/>
      <c r="G39" s="21" t="str">
        <f t="shared" si="0"/>
        <v/>
      </c>
      <c r="H39" s="22" t="str">
        <f>IF(G39="","",SUMPRODUCT(--(G39&gt;=المساطر!$B$34:$B$43)))</f>
        <v/>
      </c>
      <c r="I39" s="20"/>
      <c r="J39" s="20"/>
      <c r="K39" s="21" t="str">
        <f t="shared" si="1"/>
        <v/>
      </c>
      <c r="L39" s="22" t="str">
        <f>IF(K39="","",SUMPRODUCT(--(K39&gt;=المساطر!$C$34:$C$43)))</f>
        <v/>
      </c>
      <c r="M39" s="20"/>
      <c r="N39" s="20"/>
      <c r="O39" s="21" t="str">
        <f t="shared" si="2"/>
        <v/>
      </c>
      <c r="P39" s="22" t="str">
        <f>IF(O39="","",SUMPRODUCT(--(O39&gt;=المساطر!$D$34:$D$43)))</f>
        <v/>
      </c>
      <c r="Q39" s="12"/>
      <c r="R39" s="12"/>
      <c r="S39" s="23" t="str">
        <f t="shared" si="3"/>
        <v/>
      </c>
      <c r="T39" s="22" t="str">
        <f>IF(S39="","",SUMPRODUCT(--(S39&lt;=المساطر!$E$34:$E$43)))</f>
        <v/>
      </c>
      <c r="U39" s="20"/>
      <c r="V39" s="20"/>
      <c r="W39" s="21" t="str">
        <f t="shared" si="4"/>
        <v/>
      </c>
      <c r="X39" s="22" t="str">
        <f>IF(W39="","",SUMPRODUCT(--(W39&gt;=المساطر!$F$34:$F$43)))</f>
        <v/>
      </c>
      <c r="Y39" s="22" t="str">
        <f t="shared" si="5"/>
        <v/>
      </c>
      <c r="Z39" s="21" t="str">
        <f t="shared" si="6"/>
        <v/>
      </c>
      <c r="AA39" s="4" t="str">
        <f t="shared" si="7"/>
        <v/>
      </c>
      <c r="AB39" s="21" t="str">
        <f t="shared" si="8"/>
        <v/>
      </c>
      <c r="AC39" s="22" t="str">
        <f t="shared" si="9"/>
        <v/>
      </c>
    </row>
    <row r="40" spans="1:30">
      <c r="A40" s="19">
        <v>35</v>
      </c>
      <c r="B40" s="5"/>
      <c r="C40" s="5"/>
      <c r="D40" s="5"/>
      <c r="E40" s="20"/>
      <c r="F40" s="20"/>
      <c r="G40" s="21" t="str">
        <f t="shared" si="0"/>
        <v/>
      </c>
      <c r="H40" s="22" t="str">
        <f>IF(G40="","",SUMPRODUCT(--(G40&gt;=المساطر!$B$34:$B$43)))</f>
        <v/>
      </c>
      <c r="I40" s="20"/>
      <c r="J40" s="20"/>
      <c r="K40" s="21" t="str">
        <f t="shared" si="1"/>
        <v/>
      </c>
      <c r="L40" s="22" t="str">
        <f>IF(K40="","",SUMPRODUCT(--(K40&gt;=المساطر!$C$34:$C$43)))</f>
        <v/>
      </c>
      <c r="M40" s="20"/>
      <c r="N40" s="20"/>
      <c r="O40" s="21" t="str">
        <f t="shared" si="2"/>
        <v/>
      </c>
      <c r="P40" s="22" t="str">
        <f>IF(O40="","",SUMPRODUCT(--(O40&gt;=المساطر!$D$34:$D$43)))</f>
        <v/>
      </c>
      <c r="Q40" s="12"/>
      <c r="R40" s="12"/>
      <c r="S40" s="23" t="str">
        <f t="shared" si="3"/>
        <v/>
      </c>
      <c r="T40" s="22" t="str">
        <f>IF(S40="","",SUMPRODUCT(--(S40&lt;=المساطر!$E$34:$E$43)))</f>
        <v/>
      </c>
      <c r="U40" s="20"/>
      <c r="V40" s="20"/>
      <c r="W40" s="21" t="str">
        <f t="shared" si="4"/>
        <v/>
      </c>
      <c r="X40" s="22" t="str">
        <f>IF(W40="","",SUMPRODUCT(--(W40&gt;=المساطر!$F$34:$F$43)))</f>
        <v/>
      </c>
      <c r="Y40" s="22" t="str">
        <f t="shared" si="5"/>
        <v/>
      </c>
      <c r="Z40" s="21" t="str">
        <f t="shared" si="6"/>
        <v/>
      </c>
      <c r="AA40" s="4" t="str">
        <f t="shared" si="7"/>
        <v/>
      </c>
      <c r="AB40" s="21" t="str">
        <f t="shared" si="8"/>
        <v/>
      </c>
      <c r="AC40" s="22" t="str">
        <f t="shared" si="9"/>
        <v/>
      </c>
    </row>
    <row r="41" spans="1:30">
      <c r="A41" s="19">
        <v>36</v>
      </c>
      <c r="B41" s="5"/>
      <c r="C41" s="5"/>
      <c r="D41" s="5"/>
      <c r="E41" s="20"/>
      <c r="F41" s="20"/>
      <c r="G41" s="21" t="str">
        <f t="shared" si="0"/>
        <v/>
      </c>
      <c r="H41" s="22" t="str">
        <f>IF(G41="","",SUMPRODUCT(--(G41&gt;=المساطر!$B$34:$B$43)))</f>
        <v/>
      </c>
      <c r="I41" s="20"/>
      <c r="J41" s="20"/>
      <c r="K41" s="21" t="str">
        <f t="shared" si="1"/>
        <v/>
      </c>
      <c r="L41" s="22" t="str">
        <f>IF(K41="","",SUMPRODUCT(--(K41&gt;=المساطر!$C$34:$C$43)))</f>
        <v/>
      </c>
      <c r="M41" s="20"/>
      <c r="N41" s="20"/>
      <c r="O41" s="21" t="str">
        <f t="shared" si="2"/>
        <v/>
      </c>
      <c r="P41" s="22" t="str">
        <f>IF(O41="","",SUMPRODUCT(--(O41&gt;=المساطر!$D$34:$D$43)))</f>
        <v/>
      </c>
      <c r="Q41" s="12"/>
      <c r="R41" s="12"/>
      <c r="S41" s="23" t="str">
        <f t="shared" si="3"/>
        <v/>
      </c>
      <c r="T41" s="22" t="str">
        <f>IF(S41="","",SUMPRODUCT(--(S41&lt;=المساطر!$E$34:$E$43)))</f>
        <v/>
      </c>
      <c r="U41" s="20"/>
      <c r="V41" s="20"/>
      <c r="W41" s="21" t="str">
        <f t="shared" si="4"/>
        <v/>
      </c>
      <c r="X41" s="22" t="str">
        <f>IF(W41="","",SUMPRODUCT(--(W41&gt;=المساطر!$F$34:$F$43)))</f>
        <v/>
      </c>
      <c r="Y41" s="22" t="str">
        <f t="shared" si="5"/>
        <v/>
      </c>
      <c r="Z41" s="21" t="str">
        <f t="shared" si="6"/>
        <v/>
      </c>
      <c r="AA41" s="4" t="str">
        <f t="shared" si="7"/>
        <v/>
      </c>
      <c r="AB41" s="21" t="str">
        <f t="shared" si="8"/>
        <v/>
      </c>
      <c r="AC41" s="22" t="str">
        <f t="shared" si="9"/>
        <v/>
      </c>
    </row>
    <row r="42" spans="1:30">
      <c r="A42" s="19">
        <v>37</v>
      </c>
      <c r="B42" s="5"/>
      <c r="C42" s="5"/>
      <c r="D42" s="5"/>
      <c r="E42" s="20"/>
      <c r="F42" s="20"/>
      <c r="G42" s="21" t="str">
        <f t="shared" si="0"/>
        <v/>
      </c>
      <c r="H42" s="22" t="str">
        <f>IF(G42="","",SUMPRODUCT(--(G42&gt;=المساطر!$B$34:$B$43)))</f>
        <v/>
      </c>
      <c r="I42" s="20"/>
      <c r="J42" s="20"/>
      <c r="K42" s="21" t="str">
        <f t="shared" si="1"/>
        <v/>
      </c>
      <c r="L42" s="22" t="str">
        <f>IF(K42="","",SUMPRODUCT(--(K42&gt;=المساطر!$C$34:$C$43)))</f>
        <v/>
      </c>
      <c r="M42" s="20"/>
      <c r="N42" s="20"/>
      <c r="O42" s="21" t="str">
        <f t="shared" si="2"/>
        <v/>
      </c>
      <c r="P42" s="22" t="str">
        <f>IF(O42="","",SUMPRODUCT(--(O42&gt;=المساطر!$D$34:$D$43)))</f>
        <v/>
      </c>
      <c r="Q42" s="12"/>
      <c r="R42" s="12"/>
      <c r="S42" s="23" t="str">
        <f t="shared" si="3"/>
        <v/>
      </c>
      <c r="T42" s="22" t="str">
        <f>IF(S42="","",SUMPRODUCT(--(S42&lt;=المساطر!$E$34:$E$43)))</f>
        <v/>
      </c>
      <c r="U42" s="20"/>
      <c r="V42" s="20"/>
      <c r="W42" s="21" t="str">
        <f t="shared" si="4"/>
        <v/>
      </c>
      <c r="X42" s="22" t="str">
        <f>IF(W42="","",SUMPRODUCT(--(W42&gt;=المساطر!$F$34:$F$43)))</f>
        <v/>
      </c>
      <c r="Y42" s="22" t="str">
        <f t="shared" si="5"/>
        <v/>
      </c>
      <c r="Z42" s="21" t="str">
        <f t="shared" si="6"/>
        <v/>
      </c>
      <c r="AA42" s="4" t="str">
        <f t="shared" si="7"/>
        <v/>
      </c>
      <c r="AB42" s="21" t="str">
        <f t="shared" si="8"/>
        <v/>
      </c>
      <c r="AC42" s="22" t="str">
        <f t="shared" si="9"/>
        <v/>
      </c>
    </row>
    <row r="43" spans="1:30">
      <c r="A43" s="19">
        <v>38</v>
      </c>
      <c r="B43" s="5"/>
      <c r="C43" s="5"/>
      <c r="D43" s="5"/>
      <c r="E43" s="20"/>
      <c r="F43" s="20"/>
      <c r="G43" s="21" t="str">
        <f t="shared" si="0"/>
        <v/>
      </c>
      <c r="H43" s="22" t="str">
        <f>IF(G43="","",SUMPRODUCT(--(G43&gt;=المساطر!$B$34:$B$43)))</f>
        <v/>
      </c>
      <c r="I43" s="20"/>
      <c r="J43" s="20"/>
      <c r="K43" s="21" t="str">
        <f t="shared" si="1"/>
        <v/>
      </c>
      <c r="L43" s="22" t="str">
        <f>IF(K43="","",SUMPRODUCT(--(K43&gt;=المساطر!$C$34:$C$43)))</f>
        <v/>
      </c>
      <c r="M43" s="20"/>
      <c r="N43" s="20"/>
      <c r="O43" s="21" t="str">
        <f t="shared" si="2"/>
        <v/>
      </c>
      <c r="P43" s="22" t="str">
        <f>IF(O43="","",SUMPRODUCT(--(O43&gt;=المساطر!$D$34:$D$43)))</f>
        <v/>
      </c>
      <c r="Q43" s="12"/>
      <c r="R43" s="12"/>
      <c r="S43" s="23" t="str">
        <f t="shared" si="3"/>
        <v/>
      </c>
      <c r="T43" s="22" t="str">
        <f>IF(S43="","",SUMPRODUCT(--(S43&lt;=المساطر!$E$34:$E$43)))</f>
        <v/>
      </c>
      <c r="U43" s="20"/>
      <c r="V43" s="20"/>
      <c r="W43" s="21" t="str">
        <f t="shared" si="4"/>
        <v/>
      </c>
      <c r="X43" s="22" t="str">
        <f>IF(W43="","",SUMPRODUCT(--(W43&gt;=المساطر!$F$34:$F$43)))</f>
        <v/>
      </c>
      <c r="Y43" s="22" t="str">
        <f t="shared" si="5"/>
        <v/>
      </c>
      <c r="Z43" s="21" t="str">
        <f t="shared" si="6"/>
        <v/>
      </c>
      <c r="AA43" s="4" t="str">
        <f t="shared" si="7"/>
        <v/>
      </c>
      <c r="AB43" s="21" t="str">
        <f t="shared" si="8"/>
        <v/>
      </c>
      <c r="AC43" s="22" t="str">
        <f t="shared" si="9"/>
        <v/>
      </c>
    </row>
    <row r="44" spans="1:30">
      <c r="A44" s="19">
        <v>39</v>
      </c>
      <c r="B44" s="5"/>
      <c r="C44" s="5"/>
      <c r="D44" s="5"/>
      <c r="E44" s="20"/>
      <c r="F44" s="20"/>
      <c r="G44" s="21" t="str">
        <f t="shared" si="0"/>
        <v/>
      </c>
      <c r="H44" s="22" t="str">
        <f>IF(G44="","",SUMPRODUCT(--(G44&gt;=المساطر!$B$34:$B$43)))</f>
        <v/>
      </c>
      <c r="I44" s="20"/>
      <c r="J44" s="20"/>
      <c r="K44" s="21" t="str">
        <f t="shared" si="1"/>
        <v/>
      </c>
      <c r="L44" s="22" t="str">
        <f>IF(K44="","",SUMPRODUCT(--(K44&gt;=المساطر!$C$34:$C$43)))</f>
        <v/>
      </c>
      <c r="M44" s="20"/>
      <c r="N44" s="20"/>
      <c r="O44" s="21" t="str">
        <f t="shared" si="2"/>
        <v/>
      </c>
      <c r="P44" s="22" t="str">
        <f>IF(O44="","",SUMPRODUCT(--(O44&gt;=المساطر!$D$34:$D$43)))</f>
        <v/>
      </c>
      <c r="Q44" s="12"/>
      <c r="R44" s="12"/>
      <c r="S44" s="23" t="str">
        <f t="shared" si="3"/>
        <v/>
      </c>
      <c r="T44" s="22" t="str">
        <f>IF(S44="","",SUMPRODUCT(--(S44&lt;=المساطر!$E$34:$E$43)))</f>
        <v/>
      </c>
      <c r="U44" s="20"/>
      <c r="V44" s="20"/>
      <c r="W44" s="21" t="str">
        <f t="shared" si="4"/>
        <v/>
      </c>
      <c r="X44" s="22" t="str">
        <f>IF(W44="","",SUMPRODUCT(--(W44&gt;=المساطر!$F$34:$F$43)))</f>
        <v/>
      </c>
      <c r="Y44" s="22" t="str">
        <f t="shared" si="5"/>
        <v/>
      </c>
      <c r="Z44" s="21" t="str">
        <f t="shared" si="6"/>
        <v/>
      </c>
      <c r="AA44" s="4" t="str">
        <f t="shared" si="7"/>
        <v/>
      </c>
      <c r="AB44" s="21" t="str">
        <f t="shared" si="8"/>
        <v/>
      </c>
      <c r="AC44" s="22" t="str">
        <f t="shared" si="9"/>
        <v/>
      </c>
    </row>
    <row r="45" spans="1:30">
      <c r="A45" s="19">
        <v>40</v>
      </c>
      <c r="B45" s="5"/>
      <c r="C45" s="5"/>
      <c r="D45" s="5"/>
      <c r="E45" s="20"/>
      <c r="F45" s="20"/>
      <c r="G45" s="21" t="str">
        <f t="shared" si="0"/>
        <v/>
      </c>
      <c r="H45" s="22" t="str">
        <f>IF(G45="","",SUMPRODUCT(--(G45&gt;=المساطر!$B$34:$B$43)))</f>
        <v/>
      </c>
      <c r="I45" s="20"/>
      <c r="J45" s="20"/>
      <c r="K45" s="21" t="str">
        <f t="shared" si="1"/>
        <v/>
      </c>
      <c r="L45" s="22" t="str">
        <f>IF(K45="","",SUMPRODUCT(--(K45&gt;=المساطر!$C$34:$C$43)))</f>
        <v/>
      </c>
      <c r="M45" s="20"/>
      <c r="N45" s="20"/>
      <c r="O45" s="21" t="str">
        <f t="shared" si="2"/>
        <v/>
      </c>
      <c r="P45" s="22" t="str">
        <f>IF(O45="","",SUMPRODUCT(--(O45&gt;=المساطر!$D$34:$D$43)))</f>
        <v/>
      </c>
      <c r="Q45" s="12"/>
      <c r="R45" s="12"/>
      <c r="S45" s="23" t="str">
        <f t="shared" si="3"/>
        <v/>
      </c>
      <c r="T45" s="22" t="str">
        <f>IF(S45="","",SUMPRODUCT(--(S45&lt;=المساطر!$E$34:$E$43)))</f>
        <v/>
      </c>
      <c r="U45" s="20"/>
      <c r="V45" s="20"/>
      <c r="W45" s="21" t="str">
        <f t="shared" si="4"/>
        <v/>
      </c>
      <c r="X45" s="22" t="str">
        <f>IF(W45="","",SUMPRODUCT(--(W45&gt;=المساطر!$F$34:$F$43)))</f>
        <v/>
      </c>
      <c r="Y45" s="22" t="str">
        <f t="shared" si="5"/>
        <v/>
      </c>
      <c r="Z45" s="21" t="str">
        <f t="shared" si="6"/>
        <v/>
      </c>
      <c r="AA45" s="4" t="str">
        <f t="shared" si="7"/>
        <v/>
      </c>
      <c r="AB45" s="21" t="str">
        <f t="shared" si="8"/>
        <v/>
      </c>
      <c r="AC45" s="22" t="str">
        <f t="shared" si="9"/>
        <v/>
      </c>
    </row>
    <row r="47" spans="1:30" ht="48" customHeight="1">
      <c r="A47" s="42" t="s">
        <v>125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</row>
  </sheetData>
  <mergeCells count="17">
    <mergeCell ref="AC3:AC4"/>
    <mergeCell ref="A47:AD47"/>
    <mergeCell ref="A1:AD1"/>
    <mergeCell ref="A2:AD2"/>
    <mergeCell ref="A3:A4"/>
    <mergeCell ref="B3:B4"/>
    <mergeCell ref="C3:C4"/>
    <mergeCell ref="D3:D4"/>
    <mergeCell ref="E3:H3"/>
    <mergeCell ref="I3:L3"/>
    <mergeCell ref="M3:P3"/>
    <mergeCell ref="Q3:T3"/>
    <mergeCell ref="U3:X3"/>
    <mergeCell ref="Y3:Y4"/>
    <mergeCell ref="Z3:Z4"/>
    <mergeCell ref="AA3:AA4"/>
    <mergeCell ref="AB3:AB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3D"/>
    <pageSetUpPr fitToPage="1"/>
  </sheetPr>
  <dimension ref="A1:AD47"/>
  <sheetViews>
    <sheetView rightToLeft="1"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Q7" sqref="Q7"/>
    </sheetView>
  </sheetViews>
  <sheetFormatPr defaultColWidth="8.6640625" defaultRowHeight="14.4"/>
  <cols>
    <col min="1" max="1" width="7" customWidth="1"/>
    <col min="2" max="2" width="28" customWidth="1"/>
    <col min="3" max="3" width="14" customWidth="1"/>
    <col min="4" max="4" width="9" customWidth="1"/>
    <col min="5" max="24" width="10" customWidth="1"/>
    <col min="25" max="29" width="15" customWidth="1"/>
  </cols>
  <sheetData>
    <row r="1" spans="1:30" ht="30" customHeight="1">
      <c r="A1" s="35" t="s">
        <v>130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1:30" ht="15" customHeight="1">
      <c r="A2" s="36" t="s">
        <v>57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</row>
    <row r="3" spans="1:30" ht="43.5" customHeight="1">
      <c r="A3" s="43" t="s">
        <v>2</v>
      </c>
      <c r="B3" s="43" t="s">
        <v>103</v>
      </c>
      <c r="C3" s="43" t="s">
        <v>104</v>
      </c>
      <c r="D3" s="43" t="s">
        <v>105</v>
      </c>
      <c r="E3" s="43" t="s">
        <v>106</v>
      </c>
      <c r="F3" s="43"/>
      <c r="G3" s="43"/>
      <c r="H3" s="43"/>
      <c r="I3" s="43" t="s">
        <v>107</v>
      </c>
      <c r="J3" s="43"/>
      <c r="K3" s="43"/>
      <c r="L3" s="43"/>
      <c r="M3" s="43" t="s">
        <v>131</v>
      </c>
      <c r="N3" s="43"/>
      <c r="O3" s="43"/>
      <c r="P3" s="43"/>
      <c r="Q3" s="43" t="s">
        <v>132</v>
      </c>
      <c r="R3" s="43"/>
      <c r="S3" s="43"/>
      <c r="T3" s="43"/>
      <c r="U3" s="43" t="s">
        <v>109</v>
      </c>
      <c r="V3" s="43"/>
      <c r="W3" s="43"/>
      <c r="X3" s="43"/>
      <c r="Y3" s="43" t="s">
        <v>110</v>
      </c>
      <c r="Z3" s="43" t="s">
        <v>111</v>
      </c>
      <c r="AA3" s="43" t="s">
        <v>112</v>
      </c>
      <c r="AB3" s="43" t="s">
        <v>113</v>
      </c>
      <c r="AC3" s="43" t="s">
        <v>114</v>
      </c>
    </row>
    <row r="4" spans="1:30" ht="24" customHeight="1">
      <c r="A4" s="43"/>
      <c r="B4" s="43"/>
      <c r="C4" s="43"/>
      <c r="D4" s="43"/>
      <c r="E4" s="2" t="s">
        <v>115</v>
      </c>
      <c r="F4" s="2" t="s">
        <v>116</v>
      </c>
      <c r="G4" s="2" t="s">
        <v>117</v>
      </c>
      <c r="H4" s="2" t="s">
        <v>83</v>
      </c>
      <c r="I4" s="2" t="s">
        <v>115</v>
      </c>
      <c r="J4" s="2" t="s">
        <v>116</v>
      </c>
      <c r="K4" s="2" t="s">
        <v>117</v>
      </c>
      <c r="L4" s="2" t="s">
        <v>83</v>
      </c>
      <c r="M4" s="2" t="s">
        <v>115</v>
      </c>
      <c r="N4" s="2" t="s">
        <v>116</v>
      </c>
      <c r="O4" s="2" t="s">
        <v>117</v>
      </c>
      <c r="P4" s="2" t="s">
        <v>83</v>
      </c>
      <c r="Q4" s="2" t="s">
        <v>118</v>
      </c>
      <c r="R4" s="2" t="s">
        <v>119</v>
      </c>
      <c r="S4" s="2" t="s">
        <v>120</v>
      </c>
      <c r="T4" s="2" t="s">
        <v>83</v>
      </c>
      <c r="U4" s="2" t="s">
        <v>118</v>
      </c>
      <c r="V4" s="2" t="s">
        <v>119</v>
      </c>
      <c r="W4" s="2" t="s">
        <v>120</v>
      </c>
      <c r="X4" s="2" t="s">
        <v>83</v>
      </c>
      <c r="Y4" s="43"/>
      <c r="Z4" s="43"/>
      <c r="AA4" s="43"/>
      <c r="AB4" s="43"/>
      <c r="AC4" s="43"/>
    </row>
    <row r="5" spans="1:30">
      <c r="A5" s="7" t="s">
        <v>121</v>
      </c>
      <c r="B5" s="7" t="s">
        <v>122</v>
      </c>
      <c r="C5" s="7" t="s">
        <v>123</v>
      </c>
      <c r="D5" s="7" t="s">
        <v>124</v>
      </c>
      <c r="E5" s="13">
        <v>20</v>
      </c>
      <c r="F5" s="13">
        <v>21</v>
      </c>
      <c r="G5" s="14">
        <f t="shared" ref="G5:G45" si="0">IF(COUNT(E5:F5)=0,"",AVERAGE(E5:F5))</f>
        <v>20.5</v>
      </c>
      <c r="H5" s="15">
        <f>IF(G5="","",SUMPRODUCT(--(G5&gt;=المساطر!$B$48:$B$57)))</f>
        <v>5</v>
      </c>
      <c r="I5" s="13">
        <v>18</v>
      </c>
      <c r="J5" s="13">
        <v>18</v>
      </c>
      <c r="K5" s="14">
        <f t="shared" ref="K5:K45" si="1">IF(COUNT(I5:J5)=0,"",AVERAGE(I5:J5))</f>
        <v>18</v>
      </c>
      <c r="L5" s="15">
        <f>IF(K5="","",SUMPRODUCT(--(K5&gt;=المساطر!$C$48:$C$57)))</f>
        <v>5</v>
      </c>
      <c r="M5" s="13">
        <v>26</v>
      </c>
      <c r="N5" s="13">
        <v>27</v>
      </c>
      <c r="O5" s="14">
        <f t="shared" ref="O5:O45" si="2">IF(COUNT(M5:N5)=0,"",AVERAGE(M5:N5))</f>
        <v>26.5</v>
      </c>
      <c r="P5" s="15">
        <f>IF(O5="","",SUMPRODUCT(--(O5&gt;=المساطر!$D$48:$D$57)))</f>
        <v>4</v>
      </c>
      <c r="Q5" s="16">
        <v>12.8</v>
      </c>
      <c r="R5" s="16">
        <v>12.4</v>
      </c>
      <c r="S5" s="17">
        <f t="shared" ref="S5:S45" si="3">IF(COUNT(Q5:R5)=0,"",MIN(Q5:R5))</f>
        <v>12.4</v>
      </c>
      <c r="T5" s="15">
        <f>IF(S5="","",SUMPRODUCT(--(S5&lt;=المساطر!$E$48:$E$57)))</f>
        <v>6</v>
      </c>
      <c r="U5" s="16">
        <v>7.5</v>
      </c>
      <c r="V5" s="16">
        <v>7.2</v>
      </c>
      <c r="W5" s="17">
        <f t="shared" ref="W5:W45" si="4">IF(COUNT(U5:V5)=0,"",MIN(U5:V5))</f>
        <v>7.2</v>
      </c>
      <c r="X5" s="15">
        <f>IF(W5="","",SUMPRODUCT(--(W5&lt;=المساطر!$F$48:$F$57)))</f>
        <v>5</v>
      </c>
      <c r="Y5" s="15">
        <f t="shared" ref="Y5:Y45" si="5">IF(COUNT(H5,L5,P5,T5,X5)=5,SUM(H5,L5,P5,T5,X5),"")</f>
        <v>25</v>
      </c>
      <c r="Z5" s="14">
        <f t="shared" ref="Z5:Z45" si="6">IF(Y5="","",Y5/5)</f>
        <v>5</v>
      </c>
      <c r="AA5" s="18" t="str">
        <f t="shared" ref="AA5:AA45" si="7">IF(Z5="","",IF(ROUND(Z5,0)&gt;=9,"ممتاز",IF(ROUND(Z5,0)&gt;=7,"جيد جدا",IF(ROUND(Z5,0)&gt;=5,"جيد",IF(ROUND(Z5,0)&gt;=3,"مقبول","ضعيف")))))</f>
        <v>جيد</v>
      </c>
      <c r="AB5" s="14">
        <f t="shared" ref="AB5:AB45" si="8">IF(COUNT(G5,K5,O5)=3,SUM(G5,K5,O5),"")</f>
        <v>65</v>
      </c>
      <c r="AC5" s="15">
        <f t="shared" ref="AC5:AC45" si="9">IF(Y5="","",1+COUNTIF($Y$6:$Y$45,"&gt;"&amp;Y5)+COUNTIFS($Y$6:$Y$45,Y5,$AB$6:$AB$45,"&gt;"&amp;AB5))</f>
        <v>1</v>
      </c>
    </row>
    <row r="6" spans="1:30">
      <c r="A6" s="19">
        <v>1</v>
      </c>
      <c r="B6" s="5"/>
      <c r="C6" s="5"/>
      <c r="D6" s="5"/>
      <c r="E6" s="20"/>
      <c r="F6" s="20"/>
      <c r="G6" s="21" t="str">
        <f t="shared" si="0"/>
        <v/>
      </c>
      <c r="H6" s="22" t="str">
        <f>IF(G6="","",SUMPRODUCT(--(G6&gt;=المساطر!$B$48:$B$57)))</f>
        <v/>
      </c>
      <c r="I6" s="20"/>
      <c r="J6" s="20"/>
      <c r="K6" s="21" t="str">
        <f t="shared" si="1"/>
        <v/>
      </c>
      <c r="L6" s="22" t="str">
        <f>IF(K6="","",SUMPRODUCT(--(K6&gt;=المساطر!$C$48:$C$57)))</f>
        <v/>
      </c>
      <c r="M6" s="20"/>
      <c r="N6" s="20"/>
      <c r="O6" s="21" t="str">
        <f t="shared" si="2"/>
        <v/>
      </c>
      <c r="P6" s="22" t="str">
        <f>IF(O6="","",SUMPRODUCT(--(O6&gt;=المساطر!$D$48:$D$57)))</f>
        <v/>
      </c>
      <c r="Q6" s="12">
        <v>12.99</v>
      </c>
      <c r="R6" s="12"/>
      <c r="S6" s="23">
        <f t="shared" si="3"/>
        <v>12.99</v>
      </c>
      <c r="T6" s="22">
        <f>IF(S6="","",SUMPRODUCT(--(S6&lt;=المساطر!$E$48:$E$57)))</f>
        <v>5</v>
      </c>
      <c r="U6" s="12"/>
      <c r="V6" s="12"/>
      <c r="W6" s="23" t="str">
        <f t="shared" si="4"/>
        <v/>
      </c>
      <c r="X6" s="22" t="str">
        <f>IF(W6="","",SUMPRODUCT(--(W6&lt;=المساطر!$F$48:$F$57)))</f>
        <v/>
      </c>
      <c r="Y6" s="22" t="str">
        <f t="shared" si="5"/>
        <v/>
      </c>
      <c r="Z6" s="21" t="str">
        <f t="shared" si="6"/>
        <v/>
      </c>
      <c r="AA6" s="4" t="str">
        <f t="shared" si="7"/>
        <v/>
      </c>
      <c r="AB6" s="21" t="str">
        <f t="shared" si="8"/>
        <v/>
      </c>
      <c r="AC6" s="22" t="str">
        <f t="shared" si="9"/>
        <v/>
      </c>
    </row>
    <row r="7" spans="1:30">
      <c r="A7" s="19">
        <v>2</v>
      </c>
      <c r="B7" s="5"/>
      <c r="C7" s="5"/>
      <c r="D7" s="5"/>
      <c r="E7" s="20"/>
      <c r="F7" s="20"/>
      <c r="G7" s="21" t="str">
        <f t="shared" si="0"/>
        <v/>
      </c>
      <c r="H7" s="22" t="str">
        <f>IF(G7="","",SUMPRODUCT(--(G7&gt;=المساطر!$B$48:$B$57)))</f>
        <v/>
      </c>
      <c r="I7" s="20"/>
      <c r="J7" s="20"/>
      <c r="K7" s="21" t="str">
        <f t="shared" si="1"/>
        <v/>
      </c>
      <c r="L7" s="22" t="str">
        <f>IF(K7="","",SUMPRODUCT(--(K7&gt;=المساطر!$C$48:$C$57)))</f>
        <v/>
      </c>
      <c r="M7" s="20"/>
      <c r="N7" s="20"/>
      <c r="O7" s="21" t="str">
        <f t="shared" si="2"/>
        <v/>
      </c>
      <c r="P7" s="22" t="str">
        <f>IF(O7="","",SUMPRODUCT(--(O7&gt;=المساطر!$D$48:$D$57)))</f>
        <v/>
      </c>
      <c r="Q7" s="12"/>
      <c r="R7" s="12"/>
      <c r="S7" s="23" t="str">
        <f t="shared" si="3"/>
        <v/>
      </c>
      <c r="T7" s="22" t="str">
        <f>IF(S7="","",SUMPRODUCT(--(S7&lt;=المساطر!$E$48:$E$57)))</f>
        <v/>
      </c>
      <c r="U7" s="12"/>
      <c r="V7" s="12"/>
      <c r="W7" s="23" t="str">
        <f t="shared" si="4"/>
        <v/>
      </c>
      <c r="X7" s="22" t="str">
        <f>IF(W7="","",SUMPRODUCT(--(W7&lt;=المساطر!$F$48:$F$57)))</f>
        <v/>
      </c>
      <c r="Y7" s="22" t="str">
        <f t="shared" si="5"/>
        <v/>
      </c>
      <c r="Z7" s="21" t="str">
        <f t="shared" si="6"/>
        <v/>
      </c>
      <c r="AA7" s="4" t="str">
        <f t="shared" si="7"/>
        <v/>
      </c>
      <c r="AB7" s="21" t="str">
        <f t="shared" si="8"/>
        <v/>
      </c>
      <c r="AC7" s="22" t="str">
        <f t="shared" si="9"/>
        <v/>
      </c>
    </row>
    <row r="8" spans="1:30">
      <c r="A8" s="19">
        <v>3</v>
      </c>
      <c r="B8" s="5"/>
      <c r="C8" s="5"/>
      <c r="D8" s="5"/>
      <c r="E8" s="20"/>
      <c r="F8" s="20"/>
      <c r="G8" s="21" t="str">
        <f t="shared" si="0"/>
        <v/>
      </c>
      <c r="H8" s="22" t="str">
        <f>IF(G8="","",SUMPRODUCT(--(G8&gt;=المساطر!$B$48:$B$57)))</f>
        <v/>
      </c>
      <c r="I8" s="20"/>
      <c r="J8" s="20"/>
      <c r="K8" s="21" t="str">
        <f t="shared" si="1"/>
        <v/>
      </c>
      <c r="L8" s="22" t="str">
        <f>IF(K8="","",SUMPRODUCT(--(K8&gt;=المساطر!$C$48:$C$57)))</f>
        <v/>
      </c>
      <c r="M8" s="20"/>
      <c r="N8" s="20"/>
      <c r="O8" s="21" t="str">
        <f t="shared" si="2"/>
        <v/>
      </c>
      <c r="P8" s="22" t="str">
        <f>IF(O8="","",SUMPRODUCT(--(O8&gt;=المساطر!$D$48:$D$57)))</f>
        <v/>
      </c>
      <c r="Q8" s="12"/>
      <c r="R8" s="12"/>
      <c r="S8" s="23" t="str">
        <f t="shared" si="3"/>
        <v/>
      </c>
      <c r="T8" s="22" t="str">
        <f>IF(S8="","",SUMPRODUCT(--(S8&lt;=المساطر!$E$48:$E$57)))</f>
        <v/>
      </c>
      <c r="U8" s="12"/>
      <c r="V8" s="12"/>
      <c r="W8" s="23" t="str">
        <f t="shared" si="4"/>
        <v/>
      </c>
      <c r="X8" s="22" t="str">
        <f>IF(W8="","",SUMPRODUCT(--(W8&lt;=المساطر!$F$48:$F$57)))</f>
        <v/>
      </c>
      <c r="Y8" s="22" t="str">
        <f t="shared" si="5"/>
        <v/>
      </c>
      <c r="Z8" s="21" t="str">
        <f t="shared" si="6"/>
        <v/>
      </c>
      <c r="AA8" s="4" t="str">
        <f t="shared" si="7"/>
        <v/>
      </c>
      <c r="AB8" s="21" t="str">
        <f t="shared" si="8"/>
        <v/>
      </c>
      <c r="AC8" s="22" t="str">
        <f t="shared" si="9"/>
        <v/>
      </c>
    </row>
    <row r="9" spans="1:30">
      <c r="A9" s="19">
        <v>4</v>
      </c>
      <c r="B9" s="5"/>
      <c r="C9" s="5"/>
      <c r="D9" s="5"/>
      <c r="E9" s="20"/>
      <c r="F9" s="20"/>
      <c r="G9" s="21" t="str">
        <f t="shared" si="0"/>
        <v/>
      </c>
      <c r="H9" s="22" t="str">
        <f>IF(G9="","",SUMPRODUCT(--(G9&gt;=المساطر!$B$48:$B$57)))</f>
        <v/>
      </c>
      <c r="I9" s="20"/>
      <c r="J9" s="20"/>
      <c r="K9" s="21" t="str">
        <f t="shared" si="1"/>
        <v/>
      </c>
      <c r="L9" s="22" t="str">
        <f>IF(K9="","",SUMPRODUCT(--(K9&gt;=المساطر!$C$48:$C$57)))</f>
        <v/>
      </c>
      <c r="M9" s="20"/>
      <c r="N9" s="20"/>
      <c r="O9" s="21" t="str">
        <f t="shared" si="2"/>
        <v/>
      </c>
      <c r="P9" s="22" t="str">
        <f>IF(O9="","",SUMPRODUCT(--(O9&gt;=المساطر!$D$48:$D$57)))</f>
        <v/>
      </c>
      <c r="Q9" s="12"/>
      <c r="R9" s="12"/>
      <c r="S9" s="23" t="str">
        <f t="shared" si="3"/>
        <v/>
      </c>
      <c r="T9" s="22" t="str">
        <f>IF(S9="","",SUMPRODUCT(--(S9&lt;=المساطر!$E$48:$E$57)))</f>
        <v/>
      </c>
      <c r="U9" s="12"/>
      <c r="V9" s="12"/>
      <c r="W9" s="23" t="str">
        <f t="shared" si="4"/>
        <v/>
      </c>
      <c r="X9" s="22" t="str">
        <f>IF(W9="","",SUMPRODUCT(--(W9&lt;=المساطر!$F$48:$F$57)))</f>
        <v/>
      </c>
      <c r="Y9" s="22" t="str">
        <f t="shared" si="5"/>
        <v/>
      </c>
      <c r="Z9" s="21" t="str">
        <f t="shared" si="6"/>
        <v/>
      </c>
      <c r="AA9" s="4" t="str">
        <f t="shared" si="7"/>
        <v/>
      </c>
      <c r="AB9" s="21" t="str">
        <f t="shared" si="8"/>
        <v/>
      </c>
      <c r="AC9" s="22" t="str">
        <f t="shared" si="9"/>
        <v/>
      </c>
    </row>
    <row r="10" spans="1:30">
      <c r="A10" s="19">
        <v>5</v>
      </c>
      <c r="B10" s="5"/>
      <c r="C10" s="5"/>
      <c r="D10" s="5"/>
      <c r="E10" s="20"/>
      <c r="F10" s="20"/>
      <c r="G10" s="21" t="str">
        <f t="shared" si="0"/>
        <v/>
      </c>
      <c r="H10" s="22" t="str">
        <f>IF(G10="","",SUMPRODUCT(--(G10&gt;=المساطر!$B$48:$B$57)))</f>
        <v/>
      </c>
      <c r="I10" s="20"/>
      <c r="J10" s="20"/>
      <c r="K10" s="21" t="str">
        <f t="shared" si="1"/>
        <v/>
      </c>
      <c r="L10" s="22" t="str">
        <f>IF(K10="","",SUMPRODUCT(--(K10&gt;=المساطر!$C$48:$C$57)))</f>
        <v/>
      </c>
      <c r="M10" s="20"/>
      <c r="N10" s="20"/>
      <c r="O10" s="21" t="str">
        <f t="shared" si="2"/>
        <v/>
      </c>
      <c r="P10" s="22" t="str">
        <f>IF(O10="","",SUMPRODUCT(--(O10&gt;=المساطر!$D$48:$D$57)))</f>
        <v/>
      </c>
      <c r="Q10" s="12"/>
      <c r="R10" s="12"/>
      <c r="S10" s="23" t="str">
        <f t="shared" si="3"/>
        <v/>
      </c>
      <c r="T10" s="22" t="str">
        <f>IF(S10="","",SUMPRODUCT(--(S10&lt;=المساطر!$E$48:$E$57)))</f>
        <v/>
      </c>
      <c r="U10" s="12"/>
      <c r="V10" s="12"/>
      <c r="W10" s="23" t="str">
        <f t="shared" si="4"/>
        <v/>
      </c>
      <c r="X10" s="22" t="str">
        <f>IF(W10="","",SUMPRODUCT(--(W10&lt;=المساطر!$F$48:$F$57)))</f>
        <v/>
      </c>
      <c r="Y10" s="22" t="str">
        <f t="shared" si="5"/>
        <v/>
      </c>
      <c r="Z10" s="21" t="str">
        <f t="shared" si="6"/>
        <v/>
      </c>
      <c r="AA10" s="4" t="str">
        <f t="shared" si="7"/>
        <v/>
      </c>
      <c r="AB10" s="21" t="str">
        <f t="shared" si="8"/>
        <v/>
      </c>
      <c r="AC10" s="22" t="str">
        <f t="shared" si="9"/>
        <v/>
      </c>
    </row>
    <row r="11" spans="1:30">
      <c r="A11" s="19">
        <v>6</v>
      </c>
      <c r="B11" s="5"/>
      <c r="C11" s="5"/>
      <c r="D11" s="5"/>
      <c r="E11" s="20"/>
      <c r="F11" s="20"/>
      <c r="G11" s="21" t="str">
        <f t="shared" si="0"/>
        <v/>
      </c>
      <c r="H11" s="22" t="str">
        <f>IF(G11="","",SUMPRODUCT(--(G11&gt;=المساطر!$B$48:$B$57)))</f>
        <v/>
      </c>
      <c r="I11" s="20"/>
      <c r="J11" s="20"/>
      <c r="K11" s="21" t="str">
        <f t="shared" si="1"/>
        <v/>
      </c>
      <c r="L11" s="22" t="str">
        <f>IF(K11="","",SUMPRODUCT(--(K11&gt;=المساطر!$C$48:$C$57)))</f>
        <v/>
      </c>
      <c r="M11" s="20"/>
      <c r="N11" s="20"/>
      <c r="O11" s="21" t="str">
        <f t="shared" si="2"/>
        <v/>
      </c>
      <c r="P11" s="22" t="str">
        <f>IF(O11="","",SUMPRODUCT(--(O11&gt;=المساطر!$D$48:$D$57)))</f>
        <v/>
      </c>
      <c r="Q11" s="12"/>
      <c r="R11" s="12"/>
      <c r="S11" s="23" t="str">
        <f t="shared" si="3"/>
        <v/>
      </c>
      <c r="T11" s="22" t="str">
        <f>IF(S11="","",SUMPRODUCT(--(S11&lt;=المساطر!$E$48:$E$57)))</f>
        <v/>
      </c>
      <c r="U11" s="12"/>
      <c r="V11" s="12"/>
      <c r="W11" s="23" t="str">
        <f t="shared" si="4"/>
        <v/>
      </c>
      <c r="X11" s="22" t="str">
        <f>IF(W11="","",SUMPRODUCT(--(W11&lt;=المساطر!$F$48:$F$57)))</f>
        <v/>
      </c>
      <c r="Y11" s="22" t="str">
        <f t="shared" si="5"/>
        <v/>
      </c>
      <c r="Z11" s="21" t="str">
        <f t="shared" si="6"/>
        <v/>
      </c>
      <c r="AA11" s="4" t="str">
        <f t="shared" si="7"/>
        <v/>
      </c>
      <c r="AB11" s="21" t="str">
        <f t="shared" si="8"/>
        <v/>
      </c>
      <c r="AC11" s="22" t="str">
        <f t="shared" si="9"/>
        <v/>
      </c>
    </row>
    <row r="12" spans="1:30">
      <c r="A12" s="19">
        <v>7</v>
      </c>
      <c r="B12" s="5"/>
      <c r="C12" s="5"/>
      <c r="D12" s="5"/>
      <c r="E12" s="20"/>
      <c r="F12" s="20"/>
      <c r="G12" s="21" t="str">
        <f t="shared" si="0"/>
        <v/>
      </c>
      <c r="H12" s="22" t="str">
        <f>IF(G12="","",SUMPRODUCT(--(G12&gt;=المساطر!$B$48:$B$57)))</f>
        <v/>
      </c>
      <c r="I12" s="20"/>
      <c r="J12" s="20"/>
      <c r="K12" s="21" t="str">
        <f t="shared" si="1"/>
        <v/>
      </c>
      <c r="L12" s="22" t="str">
        <f>IF(K12="","",SUMPRODUCT(--(K12&gt;=المساطر!$C$48:$C$57)))</f>
        <v/>
      </c>
      <c r="M12" s="20"/>
      <c r="N12" s="20"/>
      <c r="O12" s="21" t="str">
        <f t="shared" si="2"/>
        <v/>
      </c>
      <c r="P12" s="22" t="str">
        <f>IF(O12="","",SUMPRODUCT(--(O12&gt;=المساطر!$D$48:$D$57)))</f>
        <v/>
      </c>
      <c r="Q12" s="12"/>
      <c r="R12" s="12"/>
      <c r="S12" s="23" t="str">
        <f t="shared" si="3"/>
        <v/>
      </c>
      <c r="T12" s="22" t="str">
        <f>IF(S12="","",SUMPRODUCT(--(S12&lt;=المساطر!$E$48:$E$57)))</f>
        <v/>
      </c>
      <c r="U12" s="12"/>
      <c r="V12" s="12"/>
      <c r="W12" s="23" t="str">
        <f t="shared" si="4"/>
        <v/>
      </c>
      <c r="X12" s="22" t="str">
        <f>IF(W12="","",SUMPRODUCT(--(W12&lt;=المساطر!$F$48:$F$57)))</f>
        <v/>
      </c>
      <c r="Y12" s="22" t="str">
        <f t="shared" si="5"/>
        <v/>
      </c>
      <c r="Z12" s="21" t="str">
        <f t="shared" si="6"/>
        <v/>
      </c>
      <c r="AA12" s="4" t="str">
        <f t="shared" si="7"/>
        <v/>
      </c>
      <c r="AB12" s="21" t="str">
        <f t="shared" si="8"/>
        <v/>
      </c>
      <c r="AC12" s="22" t="str">
        <f t="shared" si="9"/>
        <v/>
      </c>
    </row>
    <row r="13" spans="1:30">
      <c r="A13" s="19">
        <v>8</v>
      </c>
      <c r="B13" s="5"/>
      <c r="C13" s="5"/>
      <c r="D13" s="5"/>
      <c r="E13" s="20"/>
      <c r="F13" s="20"/>
      <c r="G13" s="21" t="str">
        <f t="shared" si="0"/>
        <v/>
      </c>
      <c r="H13" s="22" t="str">
        <f>IF(G13="","",SUMPRODUCT(--(G13&gt;=المساطر!$B$48:$B$57)))</f>
        <v/>
      </c>
      <c r="I13" s="20"/>
      <c r="J13" s="20"/>
      <c r="K13" s="21" t="str">
        <f t="shared" si="1"/>
        <v/>
      </c>
      <c r="L13" s="22" t="str">
        <f>IF(K13="","",SUMPRODUCT(--(K13&gt;=المساطر!$C$48:$C$57)))</f>
        <v/>
      </c>
      <c r="M13" s="20"/>
      <c r="N13" s="20"/>
      <c r="O13" s="21" t="str">
        <f t="shared" si="2"/>
        <v/>
      </c>
      <c r="P13" s="22" t="str">
        <f>IF(O13="","",SUMPRODUCT(--(O13&gt;=المساطر!$D$48:$D$57)))</f>
        <v/>
      </c>
      <c r="Q13" s="12"/>
      <c r="R13" s="12"/>
      <c r="S13" s="23" t="str">
        <f t="shared" si="3"/>
        <v/>
      </c>
      <c r="T13" s="22" t="str">
        <f>IF(S13="","",SUMPRODUCT(--(S13&lt;=المساطر!$E$48:$E$57)))</f>
        <v/>
      </c>
      <c r="U13" s="12"/>
      <c r="V13" s="12"/>
      <c r="W13" s="23" t="str">
        <f t="shared" si="4"/>
        <v/>
      </c>
      <c r="X13" s="22" t="str">
        <f>IF(W13="","",SUMPRODUCT(--(W13&lt;=المساطر!$F$48:$F$57)))</f>
        <v/>
      </c>
      <c r="Y13" s="22" t="str">
        <f t="shared" si="5"/>
        <v/>
      </c>
      <c r="Z13" s="21" t="str">
        <f t="shared" si="6"/>
        <v/>
      </c>
      <c r="AA13" s="4" t="str">
        <f t="shared" si="7"/>
        <v/>
      </c>
      <c r="AB13" s="21" t="str">
        <f t="shared" si="8"/>
        <v/>
      </c>
      <c r="AC13" s="22" t="str">
        <f t="shared" si="9"/>
        <v/>
      </c>
    </row>
    <row r="14" spans="1:30">
      <c r="A14" s="19">
        <v>9</v>
      </c>
      <c r="B14" s="5"/>
      <c r="C14" s="5"/>
      <c r="D14" s="5"/>
      <c r="E14" s="20"/>
      <c r="F14" s="20"/>
      <c r="G14" s="21" t="str">
        <f t="shared" si="0"/>
        <v/>
      </c>
      <c r="H14" s="22" t="str">
        <f>IF(G14="","",SUMPRODUCT(--(G14&gt;=المساطر!$B$48:$B$57)))</f>
        <v/>
      </c>
      <c r="I14" s="20"/>
      <c r="J14" s="20"/>
      <c r="K14" s="21" t="str">
        <f t="shared" si="1"/>
        <v/>
      </c>
      <c r="L14" s="22" t="str">
        <f>IF(K14="","",SUMPRODUCT(--(K14&gt;=المساطر!$C$48:$C$57)))</f>
        <v/>
      </c>
      <c r="M14" s="20"/>
      <c r="N14" s="20"/>
      <c r="O14" s="21" t="str">
        <f t="shared" si="2"/>
        <v/>
      </c>
      <c r="P14" s="22" t="str">
        <f>IF(O14="","",SUMPRODUCT(--(O14&gt;=المساطر!$D$48:$D$57)))</f>
        <v/>
      </c>
      <c r="Q14" s="12"/>
      <c r="R14" s="12"/>
      <c r="S14" s="23" t="str">
        <f t="shared" si="3"/>
        <v/>
      </c>
      <c r="T14" s="22" t="str">
        <f>IF(S14="","",SUMPRODUCT(--(S14&lt;=المساطر!$E$48:$E$57)))</f>
        <v/>
      </c>
      <c r="U14" s="12"/>
      <c r="V14" s="12"/>
      <c r="W14" s="23" t="str">
        <f t="shared" si="4"/>
        <v/>
      </c>
      <c r="X14" s="22" t="str">
        <f>IF(W14="","",SUMPRODUCT(--(W14&lt;=المساطر!$F$48:$F$57)))</f>
        <v/>
      </c>
      <c r="Y14" s="22" t="str">
        <f t="shared" si="5"/>
        <v/>
      </c>
      <c r="Z14" s="21" t="str">
        <f t="shared" si="6"/>
        <v/>
      </c>
      <c r="AA14" s="4" t="str">
        <f t="shared" si="7"/>
        <v/>
      </c>
      <c r="AB14" s="21" t="str">
        <f t="shared" si="8"/>
        <v/>
      </c>
      <c r="AC14" s="22" t="str">
        <f t="shared" si="9"/>
        <v/>
      </c>
    </row>
    <row r="15" spans="1:30">
      <c r="A15" s="19">
        <v>10</v>
      </c>
      <c r="B15" s="5"/>
      <c r="C15" s="5"/>
      <c r="D15" s="5"/>
      <c r="E15" s="20"/>
      <c r="F15" s="20"/>
      <c r="G15" s="21" t="str">
        <f t="shared" si="0"/>
        <v/>
      </c>
      <c r="H15" s="22" t="str">
        <f>IF(G15="","",SUMPRODUCT(--(G15&gt;=المساطر!$B$48:$B$57)))</f>
        <v/>
      </c>
      <c r="I15" s="20"/>
      <c r="J15" s="20"/>
      <c r="K15" s="21" t="str">
        <f t="shared" si="1"/>
        <v/>
      </c>
      <c r="L15" s="22" t="str">
        <f>IF(K15="","",SUMPRODUCT(--(K15&gt;=المساطر!$C$48:$C$57)))</f>
        <v/>
      </c>
      <c r="M15" s="20"/>
      <c r="N15" s="20"/>
      <c r="O15" s="21" t="str">
        <f t="shared" si="2"/>
        <v/>
      </c>
      <c r="P15" s="22" t="str">
        <f>IF(O15="","",SUMPRODUCT(--(O15&gt;=المساطر!$D$48:$D$57)))</f>
        <v/>
      </c>
      <c r="Q15" s="12"/>
      <c r="R15" s="12"/>
      <c r="S15" s="23" t="str">
        <f t="shared" si="3"/>
        <v/>
      </c>
      <c r="T15" s="22" t="str">
        <f>IF(S15="","",SUMPRODUCT(--(S15&lt;=المساطر!$E$48:$E$57)))</f>
        <v/>
      </c>
      <c r="U15" s="12"/>
      <c r="V15" s="12"/>
      <c r="W15" s="23" t="str">
        <f t="shared" si="4"/>
        <v/>
      </c>
      <c r="X15" s="22" t="str">
        <f>IF(W15="","",SUMPRODUCT(--(W15&lt;=المساطر!$F$48:$F$57)))</f>
        <v/>
      </c>
      <c r="Y15" s="22" t="str">
        <f t="shared" si="5"/>
        <v/>
      </c>
      <c r="Z15" s="21" t="str">
        <f t="shared" si="6"/>
        <v/>
      </c>
      <c r="AA15" s="4" t="str">
        <f t="shared" si="7"/>
        <v/>
      </c>
      <c r="AB15" s="21" t="str">
        <f t="shared" si="8"/>
        <v/>
      </c>
      <c r="AC15" s="22" t="str">
        <f t="shared" si="9"/>
        <v/>
      </c>
    </row>
    <row r="16" spans="1:30">
      <c r="A16" s="19">
        <v>11</v>
      </c>
      <c r="B16" s="5"/>
      <c r="C16" s="5"/>
      <c r="D16" s="5"/>
      <c r="E16" s="20"/>
      <c r="F16" s="20"/>
      <c r="G16" s="21" t="str">
        <f t="shared" si="0"/>
        <v/>
      </c>
      <c r="H16" s="22" t="str">
        <f>IF(G16="","",SUMPRODUCT(--(G16&gt;=المساطر!$B$48:$B$57)))</f>
        <v/>
      </c>
      <c r="I16" s="20"/>
      <c r="J16" s="20"/>
      <c r="K16" s="21" t="str">
        <f t="shared" si="1"/>
        <v/>
      </c>
      <c r="L16" s="22" t="str">
        <f>IF(K16="","",SUMPRODUCT(--(K16&gt;=المساطر!$C$48:$C$57)))</f>
        <v/>
      </c>
      <c r="M16" s="20"/>
      <c r="N16" s="20"/>
      <c r="O16" s="21" t="str">
        <f t="shared" si="2"/>
        <v/>
      </c>
      <c r="P16" s="22" t="str">
        <f>IF(O16="","",SUMPRODUCT(--(O16&gt;=المساطر!$D$48:$D$57)))</f>
        <v/>
      </c>
      <c r="Q16" s="12"/>
      <c r="R16" s="12"/>
      <c r="S16" s="23" t="str">
        <f t="shared" si="3"/>
        <v/>
      </c>
      <c r="T16" s="22" t="str">
        <f>IF(S16="","",SUMPRODUCT(--(S16&lt;=المساطر!$E$48:$E$57)))</f>
        <v/>
      </c>
      <c r="U16" s="12"/>
      <c r="V16" s="12"/>
      <c r="W16" s="23" t="str">
        <f t="shared" si="4"/>
        <v/>
      </c>
      <c r="X16" s="22" t="str">
        <f>IF(W16="","",SUMPRODUCT(--(W16&lt;=المساطر!$F$48:$F$57)))</f>
        <v/>
      </c>
      <c r="Y16" s="22" t="str">
        <f t="shared" si="5"/>
        <v/>
      </c>
      <c r="Z16" s="21" t="str">
        <f t="shared" si="6"/>
        <v/>
      </c>
      <c r="AA16" s="4" t="str">
        <f t="shared" si="7"/>
        <v/>
      </c>
      <c r="AB16" s="21" t="str">
        <f t="shared" si="8"/>
        <v/>
      </c>
      <c r="AC16" s="22" t="str">
        <f t="shared" si="9"/>
        <v/>
      </c>
    </row>
    <row r="17" spans="1:29">
      <c r="A17" s="19">
        <v>12</v>
      </c>
      <c r="B17" s="5"/>
      <c r="C17" s="5"/>
      <c r="D17" s="5"/>
      <c r="E17" s="20"/>
      <c r="F17" s="20"/>
      <c r="G17" s="21" t="str">
        <f t="shared" si="0"/>
        <v/>
      </c>
      <c r="H17" s="22" t="str">
        <f>IF(G17="","",SUMPRODUCT(--(G17&gt;=المساطر!$B$48:$B$57)))</f>
        <v/>
      </c>
      <c r="I17" s="20"/>
      <c r="J17" s="20"/>
      <c r="K17" s="21" t="str">
        <f t="shared" si="1"/>
        <v/>
      </c>
      <c r="L17" s="22" t="str">
        <f>IF(K17="","",SUMPRODUCT(--(K17&gt;=المساطر!$C$48:$C$57)))</f>
        <v/>
      </c>
      <c r="M17" s="20"/>
      <c r="N17" s="20"/>
      <c r="O17" s="21" t="str">
        <f t="shared" si="2"/>
        <v/>
      </c>
      <c r="P17" s="22" t="str">
        <f>IF(O17="","",SUMPRODUCT(--(O17&gt;=المساطر!$D$48:$D$57)))</f>
        <v/>
      </c>
      <c r="Q17" s="12"/>
      <c r="R17" s="12"/>
      <c r="S17" s="23" t="str">
        <f t="shared" si="3"/>
        <v/>
      </c>
      <c r="T17" s="22" t="str">
        <f>IF(S17="","",SUMPRODUCT(--(S17&lt;=المساطر!$E$48:$E$57)))</f>
        <v/>
      </c>
      <c r="U17" s="12"/>
      <c r="V17" s="12"/>
      <c r="W17" s="23" t="str">
        <f t="shared" si="4"/>
        <v/>
      </c>
      <c r="X17" s="22" t="str">
        <f>IF(W17="","",SUMPRODUCT(--(W17&lt;=المساطر!$F$48:$F$57)))</f>
        <v/>
      </c>
      <c r="Y17" s="22" t="str">
        <f t="shared" si="5"/>
        <v/>
      </c>
      <c r="Z17" s="21" t="str">
        <f t="shared" si="6"/>
        <v/>
      </c>
      <c r="AA17" s="4" t="str">
        <f t="shared" si="7"/>
        <v/>
      </c>
      <c r="AB17" s="21" t="str">
        <f t="shared" si="8"/>
        <v/>
      </c>
      <c r="AC17" s="22" t="str">
        <f t="shared" si="9"/>
        <v/>
      </c>
    </row>
    <row r="18" spans="1:29">
      <c r="A18" s="19">
        <v>13</v>
      </c>
      <c r="B18" s="5"/>
      <c r="C18" s="5"/>
      <c r="D18" s="5"/>
      <c r="E18" s="20"/>
      <c r="F18" s="20"/>
      <c r="G18" s="21" t="str">
        <f t="shared" si="0"/>
        <v/>
      </c>
      <c r="H18" s="22" t="str">
        <f>IF(G18="","",SUMPRODUCT(--(G18&gt;=المساطر!$B$48:$B$57)))</f>
        <v/>
      </c>
      <c r="I18" s="20"/>
      <c r="J18" s="20"/>
      <c r="K18" s="21" t="str">
        <f t="shared" si="1"/>
        <v/>
      </c>
      <c r="L18" s="22" t="str">
        <f>IF(K18="","",SUMPRODUCT(--(K18&gt;=المساطر!$C$48:$C$57)))</f>
        <v/>
      </c>
      <c r="M18" s="20"/>
      <c r="N18" s="20"/>
      <c r="O18" s="21" t="str">
        <f t="shared" si="2"/>
        <v/>
      </c>
      <c r="P18" s="22" t="str">
        <f>IF(O18="","",SUMPRODUCT(--(O18&gt;=المساطر!$D$48:$D$57)))</f>
        <v/>
      </c>
      <c r="Q18" s="12"/>
      <c r="R18" s="12"/>
      <c r="S18" s="23" t="str">
        <f t="shared" si="3"/>
        <v/>
      </c>
      <c r="T18" s="22" t="str">
        <f>IF(S18="","",SUMPRODUCT(--(S18&lt;=المساطر!$E$48:$E$57)))</f>
        <v/>
      </c>
      <c r="U18" s="12"/>
      <c r="V18" s="12"/>
      <c r="W18" s="23" t="str">
        <f t="shared" si="4"/>
        <v/>
      </c>
      <c r="X18" s="22" t="str">
        <f>IF(W18="","",SUMPRODUCT(--(W18&lt;=المساطر!$F$48:$F$57)))</f>
        <v/>
      </c>
      <c r="Y18" s="22" t="str">
        <f t="shared" si="5"/>
        <v/>
      </c>
      <c r="Z18" s="21" t="str">
        <f t="shared" si="6"/>
        <v/>
      </c>
      <c r="AA18" s="4" t="str">
        <f t="shared" si="7"/>
        <v/>
      </c>
      <c r="AB18" s="21" t="str">
        <f t="shared" si="8"/>
        <v/>
      </c>
      <c r="AC18" s="22" t="str">
        <f t="shared" si="9"/>
        <v/>
      </c>
    </row>
    <row r="19" spans="1:29">
      <c r="A19" s="19">
        <v>14</v>
      </c>
      <c r="B19" s="5"/>
      <c r="C19" s="5"/>
      <c r="D19" s="5"/>
      <c r="E19" s="20"/>
      <c r="F19" s="20"/>
      <c r="G19" s="21" t="str">
        <f t="shared" si="0"/>
        <v/>
      </c>
      <c r="H19" s="22" t="str">
        <f>IF(G19="","",SUMPRODUCT(--(G19&gt;=المساطر!$B$48:$B$57)))</f>
        <v/>
      </c>
      <c r="I19" s="20"/>
      <c r="J19" s="20"/>
      <c r="K19" s="21" t="str">
        <f t="shared" si="1"/>
        <v/>
      </c>
      <c r="L19" s="22" t="str">
        <f>IF(K19="","",SUMPRODUCT(--(K19&gt;=المساطر!$C$48:$C$57)))</f>
        <v/>
      </c>
      <c r="M19" s="20"/>
      <c r="N19" s="20"/>
      <c r="O19" s="21" t="str">
        <f t="shared" si="2"/>
        <v/>
      </c>
      <c r="P19" s="22" t="str">
        <f>IF(O19="","",SUMPRODUCT(--(O19&gt;=المساطر!$D$48:$D$57)))</f>
        <v/>
      </c>
      <c r="Q19" s="12"/>
      <c r="R19" s="12"/>
      <c r="S19" s="23" t="str">
        <f t="shared" si="3"/>
        <v/>
      </c>
      <c r="T19" s="22" t="str">
        <f>IF(S19="","",SUMPRODUCT(--(S19&lt;=المساطر!$E$48:$E$57)))</f>
        <v/>
      </c>
      <c r="U19" s="12"/>
      <c r="V19" s="12"/>
      <c r="W19" s="23" t="str">
        <f t="shared" si="4"/>
        <v/>
      </c>
      <c r="X19" s="22" t="str">
        <f>IF(W19="","",SUMPRODUCT(--(W19&lt;=المساطر!$F$48:$F$57)))</f>
        <v/>
      </c>
      <c r="Y19" s="22" t="str">
        <f t="shared" si="5"/>
        <v/>
      </c>
      <c r="Z19" s="21" t="str">
        <f t="shared" si="6"/>
        <v/>
      </c>
      <c r="AA19" s="4" t="str">
        <f t="shared" si="7"/>
        <v/>
      </c>
      <c r="AB19" s="21" t="str">
        <f t="shared" si="8"/>
        <v/>
      </c>
      <c r="AC19" s="22" t="str">
        <f t="shared" si="9"/>
        <v/>
      </c>
    </row>
    <row r="20" spans="1:29">
      <c r="A20" s="19">
        <v>15</v>
      </c>
      <c r="B20" s="5"/>
      <c r="C20" s="5"/>
      <c r="D20" s="5"/>
      <c r="E20" s="20"/>
      <c r="F20" s="20"/>
      <c r="G20" s="21" t="str">
        <f t="shared" si="0"/>
        <v/>
      </c>
      <c r="H20" s="22" t="str">
        <f>IF(G20="","",SUMPRODUCT(--(G20&gt;=المساطر!$B$48:$B$57)))</f>
        <v/>
      </c>
      <c r="I20" s="20"/>
      <c r="J20" s="20"/>
      <c r="K20" s="21" t="str">
        <f t="shared" si="1"/>
        <v/>
      </c>
      <c r="L20" s="22" t="str">
        <f>IF(K20="","",SUMPRODUCT(--(K20&gt;=المساطر!$C$48:$C$57)))</f>
        <v/>
      </c>
      <c r="M20" s="20"/>
      <c r="N20" s="20"/>
      <c r="O20" s="21" t="str">
        <f t="shared" si="2"/>
        <v/>
      </c>
      <c r="P20" s="22" t="str">
        <f>IF(O20="","",SUMPRODUCT(--(O20&gt;=المساطر!$D$48:$D$57)))</f>
        <v/>
      </c>
      <c r="Q20" s="12"/>
      <c r="R20" s="12"/>
      <c r="S20" s="23" t="str">
        <f t="shared" si="3"/>
        <v/>
      </c>
      <c r="T20" s="22" t="str">
        <f>IF(S20="","",SUMPRODUCT(--(S20&lt;=المساطر!$E$48:$E$57)))</f>
        <v/>
      </c>
      <c r="U20" s="12"/>
      <c r="V20" s="12"/>
      <c r="W20" s="23" t="str">
        <f t="shared" si="4"/>
        <v/>
      </c>
      <c r="X20" s="22" t="str">
        <f>IF(W20="","",SUMPRODUCT(--(W20&lt;=المساطر!$F$48:$F$57)))</f>
        <v/>
      </c>
      <c r="Y20" s="22" t="str">
        <f t="shared" si="5"/>
        <v/>
      </c>
      <c r="Z20" s="21" t="str">
        <f t="shared" si="6"/>
        <v/>
      </c>
      <c r="AA20" s="4" t="str">
        <f t="shared" si="7"/>
        <v/>
      </c>
      <c r="AB20" s="21" t="str">
        <f t="shared" si="8"/>
        <v/>
      </c>
      <c r="AC20" s="22" t="str">
        <f t="shared" si="9"/>
        <v/>
      </c>
    </row>
    <row r="21" spans="1:29">
      <c r="A21" s="19">
        <v>16</v>
      </c>
      <c r="B21" s="5"/>
      <c r="C21" s="5"/>
      <c r="D21" s="5"/>
      <c r="E21" s="20"/>
      <c r="F21" s="20"/>
      <c r="G21" s="21" t="str">
        <f t="shared" si="0"/>
        <v/>
      </c>
      <c r="H21" s="22" t="str">
        <f>IF(G21="","",SUMPRODUCT(--(G21&gt;=المساطر!$B$48:$B$57)))</f>
        <v/>
      </c>
      <c r="I21" s="20"/>
      <c r="J21" s="20"/>
      <c r="K21" s="21" t="str">
        <f t="shared" si="1"/>
        <v/>
      </c>
      <c r="L21" s="22" t="str">
        <f>IF(K21="","",SUMPRODUCT(--(K21&gt;=المساطر!$C$48:$C$57)))</f>
        <v/>
      </c>
      <c r="M21" s="20"/>
      <c r="N21" s="20"/>
      <c r="O21" s="21" t="str">
        <f t="shared" si="2"/>
        <v/>
      </c>
      <c r="P21" s="22" t="str">
        <f>IF(O21="","",SUMPRODUCT(--(O21&gt;=المساطر!$D$48:$D$57)))</f>
        <v/>
      </c>
      <c r="Q21" s="12"/>
      <c r="R21" s="12"/>
      <c r="S21" s="23" t="str">
        <f t="shared" si="3"/>
        <v/>
      </c>
      <c r="T21" s="22" t="str">
        <f>IF(S21="","",SUMPRODUCT(--(S21&lt;=المساطر!$E$48:$E$57)))</f>
        <v/>
      </c>
      <c r="U21" s="12"/>
      <c r="V21" s="12"/>
      <c r="W21" s="23" t="str">
        <f t="shared" si="4"/>
        <v/>
      </c>
      <c r="X21" s="22" t="str">
        <f>IF(W21="","",SUMPRODUCT(--(W21&lt;=المساطر!$F$48:$F$57)))</f>
        <v/>
      </c>
      <c r="Y21" s="22" t="str">
        <f t="shared" si="5"/>
        <v/>
      </c>
      <c r="Z21" s="21" t="str">
        <f t="shared" si="6"/>
        <v/>
      </c>
      <c r="AA21" s="4" t="str">
        <f t="shared" si="7"/>
        <v/>
      </c>
      <c r="AB21" s="21" t="str">
        <f t="shared" si="8"/>
        <v/>
      </c>
      <c r="AC21" s="22" t="str">
        <f t="shared" si="9"/>
        <v/>
      </c>
    </row>
    <row r="22" spans="1:29">
      <c r="A22" s="19">
        <v>17</v>
      </c>
      <c r="B22" s="5"/>
      <c r="C22" s="5"/>
      <c r="D22" s="5"/>
      <c r="E22" s="20"/>
      <c r="F22" s="20"/>
      <c r="G22" s="21" t="str">
        <f t="shared" si="0"/>
        <v/>
      </c>
      <c r="H22" s="22" t="str">
        <f>IF(G22="","",SUMPRODUCT(--(G22&gt;=المساطر!$B$48:$B$57)))</f>
        <v/>
      </c>
      <c r="I22" s="20"/>
      <c r="J22" s="20"/>
      <c r="K22" s="21" t="str">
        <f t="shared" si="1"/>
        <v/>
      </c>
      <c r="L22" s="22" t="str">
        <f>IF(K22="","",SUMPRODUCT(--(K22&gt;=المساطر!$C$48:$C$57)))</f>
        <v/>
      </c>
      <c r="M22" s="20"/>
      <c r="N22" s="20"/>
      <c r="O22" s="21" t="str">
        <f t="shared" si="2"/>
        <v/>
      </c>
      <c r="P22" s="22" t="str">
        <f>IF(O22="","",SUMPRODUCT(--(O22&gt;=المساطر!$D$48:$D$57)))</f>
        <v/>
      </c>
      <c r="Q22" s="12"/>
      <c r="R22" s="12"/>
      <c r="S22" s="23" t="str">
        <f t="shared" si="3"/>
        <v/>
      </c>
      <c r="T22" s="22" t="str">
        <f>IF(S22="","",SUMPRODUCT(--(S22&lt;=المساطر!$E$48:$E$57)))</f>
        <v/>
      </c>
      <c r="U22" s="12"/>
      <c r="V22" s="12"/>
      <c r="W22" s="23" t="str">
        <f t="shared" si="4"/>
        <v/>
      </c>
      <c r="X22" s="22" t="str">
        <f>IF(W22="","",SUMPRODUCT(--(W22&lt;=المساطر!$F$48:$F$57)))</f>
        <v/>
      </c>
      <c r="Y22" s="22" t="str">
        <f t="shared" si="5"/>
        <v/>
      </c>
      <c r="Z22" s="21" t="str">
        <f t="shared" si="6"/>
        <v/>
      </c>
      <c r="AA22" s="4" t="str">
        <f t="shared" si="7"/>
        <v/>
      </c>
      <c r="AB22" s="21" t="str">
        <f t="shared" si="8"/>
        <v/>
      </c>
      <c r="AC22" s="22" t="str">
        <f t="shared" si="9"/>
        <v/>
      </c>
    </row>
    <row r="23" spans="1:29">
      <c r="A23" s="19">
        <v>18</v>
      </c>
      <c r="B23" s="5"/>
      <c r="C23" s="5"/>
      <c r="D23" s="5"/>
      <c r="E23" s="20"/>
      <c r="F23" s="20"/>
      <c r="G23" s="21" t="str">
        <f t="shared" si="0"/>
        <v/>
      </c>
      <c r="H23" s="22" t="str">
        <f>IF(G23="","",SUMPRODUCT(--(G23&gt;=المساطر!$B$48:$B$57)))</f>
        <v/>
      </c>
      <c r="I23" s="20"/>
      <c r="J23" s="20"/>
      <c r="K23" s="21" t="str">
        <f t="shared" si="1"/>
        <v/>
      </c>
      <c r="L23" s="22" t="str">
        <f>IF(K23="","",SUMPRODUCT(--(K23&gt;=المساطر!$C$48:$C$57)))</f>
        <v/>
      </c>
      <c r="M23" s="20"/>
      <c r="N23" s="20"/>
      <c r="O23" s="21" t="str">
        <f t="shared" si="2"/>
        <v/>
      </c>
      <c r="P23" s="22" t="str">
        <f>IF(O23="","",SUMPRODUCT(--(O23&gt;=المساطر!$D$48:$D$57)))</f>
        <v/>
      </c>
      <c r="Q23" s="12"/>
      <c r="R23" s="12"/>
      <c r="S23" s="23" t="str">
        <f t="shared" si="3"/>
        <v/>
      </c>
      <c r="T23" s="22" t="str">
        <f>IF(S23="","",SUMPRODUCT(--(S23&lt;=المساطر!$E$48:$E$57)))</f>
        <v/>
      </c>
      <c r="U23" s="12"/>
      <c r="V23" s="12"/>
      <c r="W23" s="23" t="str">
        <f t="shared" si="4"/>
        <v/>
      </c>
      <c r="X23" s="22" t="str">
        <f>IF(W23="","",SUMPRODUCT(--(W23&lt;=المساطر!$F$48:$F$57)))</f>
        <v/>
      </c>
      <c r="Y23" s="22" t="str">
        <f t="shared" si="5"/>
        <v/>
      </c>
      <c r="Z23" s="21" t="str">
        <f t="shared" si="6"/>
        <v/>
      </c>
      <c r="AA23" s="4" t="str">
        <f t="shared" si="7"/>
        <v/>
      </c>
      <c r="AB23" s="21" t="str">
        <f t="shared" si="8"/>
        <v/>
      </c>
      <c r="AC23" s="22" t="str">
        <f t="shared" si="9"/>
        <v/>
      </c>
    </row>
    <row r="24" spans="1:29">
      <c r="A24" s="19">
        <v>19</v>
      </c>
      <c r="B24" s="5"/>
      <c r="C24" s="5"/>
      <c r="D24" s="5"/>
      <c r="E24" s="20"/>
      <c r="F24" s="20"/>
      <c r="G24" s="21" t="str">
        <f t="shared" si="0"/>
        <v/>
      </c>
      <c r="H24" s="22" t="str">
        <f>IF(G24="","",SUMPRODUCT(--(G24&gt;=المساطر!$B$48:$B$57)))</f>
        <v/>
      </c>
      <c r="I24" s="20"/>
      <c r="J24" s="20"/>
      <c r="K24" s="21" t="str">
        <f t="shared" si="1"/>
        <v/>
      </c>
      <c r="L24" s="22" t="str">
        <f>IF(K24="","",SUMPRODUCT(--(K24&gt;=المساطر!$C$48:$C$57)))</f>
        <v/>
      </c>
      <c r="M24" s="20"/>
      <c r="N24" s="20"/>
      <c r="O24" s="21" t="str">
        <f t="shared" si="2"/>
        <v/>
      </c>
      <c r="P24" s="22" t="str">
        <f>IF(O24="","",SUMPRODUCT(--(O24&gt;=المساطر!$D$48:$D$57)))</f>
        <v/>
      </c>
      <c r="Q24" s="12"/>
      <c r="R24" s="12"/>
      <c r="S24" s="23" t="str">
        <f t="shared" si="3"/>
        <v/>
      </c>
      <c r="T24" s="22" t="str">
        <f>IF(S24="","",SUMPRODUCT(--(S24&lt;=المساطر!$E$48:$E$57)))</f>
        <v/>
      </c>
      <c r="U24" s="12"/>
      <c r="V24" s="12"/>
      <c r="W24" s="23" t="str">
        <f t="shared" si="4"/>
        <v/>
      </c>
      <c r="X24" s="22" t="str">
        <f>IF(W24="","",SUMPRODUCT(--(W24&lt;=المساطر!$F$48:$F$57)))</f>
        <v/>
      </c>
      <c r="Y24" s="22" t="str">
        <f t="shared" si="5"/>
        <v/>
      </c>
      <c r="Z24" s="21" t="str">
        <f t="shared" si="6"/>
        <v/>
      </c>
      <c r="AA24" s="4" t="str">
        <f t="shared" si="7"/>
        <v/>
      </c>
      <c r="AB24" s="21" t="str">
        <f t="shared" si="8"/>
        <v/>
      </c>
      <c r="AC24" s="22" t="str">
        <f t="shared" si="9"/>
        <v/>
      </c>
    </row>
    <row r="25" spans="1:29">
      <c r="A25" s="19">
        <v>20</v>
      </c>
      <c r="B25" s="5"/>
      <c r="C25" s="5"/>
      <c r="D25" s="5"/>
      <c r="E25" s="20"/>
      <c r="F25" s="20"/>
      <c r="G25" s="21" t="str">
        <f t="shared" si="0"/>
        <v/>
      </c>
      <c r="H25" s="22" t="str">
        <f>IF(G25="","",SUMPRODUCT(--(G25&gt;=المساطر!$B$48:$B$57)))</f>
        <v/>
      </c>
      <c r="I25" s="20"/>
      <c r="J25" s="20"/>
      <c r="K25" s="21" t="str">
        <f t="shared" si="1"/>
        <v/>
      </c>
      <c r="L25" s="22" t="str">
        <f>IF(K25="","",SUMPRODUCT(--(K25&gt;=المساطر!$C$48:$C$57)))</f>
        <v/>
      </c>
      <c r="M25" s="20"/>
      <c r="N25" s="20"/>
      <c r="O25" s="21" t="str">
        <f t="shared" si="2"/>
        <v/>
      </c>
      <c r="P25" s="22" t="str">
        <f>IF(O25="","",SUMPRODUCT(--(O25&gt;=المساطر!$D$48:$D$57)))</f>
        <v/>
      </c>
      <c r="Q25" s="12"/>
      <c r="R25" s="12"/>
      <c r="S25" s="23" t="str">
        <f t="shared" si="3"/>
        <v/>
      </c>
      <c r="T25" s="22" t="str">
        <f>IF(S25="","",SUMPRODUCT(--(S25&lt;=المساطر!$E$48:$E$57)))</f>
        <v/>
      </c>
      <c r="U25" s="12"/>
      <c r="V25" s="12"/>
      <c r="W25" s="23" t="str">
        <f t="shared" si="4"/>
        <v/>
      </c>
      <c r="X25" s="22" t="str">
        <f>IF(W25="","",SUMPRODUCT(--(W25&lt;=المساطر!$F$48:$F$57)))</f>
        <v/>
      </c>
      <c r="Y25" s="22" t="str">
        <f t="shared" si="5"/>
        <v/>
      </c>
      <c r="Z25" s="21" t="str">
        <f t="shared" si="6"/>
        <v/>
      </c>
      <c r="AA25" s="4" t="str">
        <f t="shared" si="7"/>
        <v/>
      </c>
      <c r="AB25" s="21" t="str">
        <f t="shared" si="8"/>
        <v/>
      </c>
      <c r="AC25" s="22" t="str">
        <f t="shared" si="9"/>
        <v/>
      </c>
    </row>
    <row r="26" spans="1:29">
      <c r="A26" s="19">
        <v>21</v>
      </c>
      <c r="B26" s="5"/>
      <c r="C26" s="5"/>
      <c r="D26" s="5"/>
      <c r="E26" s="20"/>
      <c r="F26" s="20"/>
      <c r="G26" s="21" t="str">
        <f t="shared" si="0"/>
        <v/>
      </c>
      <c r="H26" s="22" t="str">
        <f>IF(G26="","",SUMPRODUCT(--(G26&gt;=المساطر!$B$48:$B$57)))</f>
        <v/>
      </c>
      <c r="I26" s="20"/>
      <c r="J26" s="20"/>
      <c r="K26" s="21" t="str">
        <f t="shared" si="1"/>
        <v/>
      </c>
      <c r="L26" s="22" t="str">
        <f>IF(K26="","",SUMPRODUCT(--(K26&gt;=المساطر!$C$48:$C$57)))</f>
        <v/>
      </c>
      <c r="M26" s="20"/>
      <c r="N26" s="20"/>
      <c r="O26" s="21" t="str">
        <f t="shared" si="2"/>
        <v/>
      </c>
      <c r="P26" s="22" t="str">
        <f>IF(O26="","",SUMPRODUCT(--(O26&gt;=المساطر!$D$48:$D$57)))</f>
        <v/>
      </c>
      <c r="Q26" s="12"/>
      <c r="R26" s="12"/>
      <c r="S26" s="23" t="str">
        <f t="shared" si="3"/>
        <v/>
      </c>
      <c r="T26" s="22" t="str">
        <f>IF(S26="","",SUMPRODUCT(--(S26&lt;=المساطر!$E$48:$E$57)))</f>
        <v/>
      </c>
      <c r="U26" s="12"/>
      <c r="V26" s="12"/>
      <c r="W26" s="23" t="str">
        <f t="shared" si="4"/>
        <v/>
      </c>
      <c r="X26" s="22" t="str">
        <f>IF(W26="","",SUMPRODUCT(--(W26&lt;=المساطر!$F$48:$F$57)))</f>
        <v/>
      </c>
      <c r="Y26" s="22" t="str">
        <f t="shared" si="5"/>
        <v/>
      </c>
      <c r="Z26" s="21" t="str">
        <f t="shared" si="6"/>
        <v/>
      </c>
      <c r="AA26" s="4" t="str">
        <f t="shared" si="7"/>
        <v/>
      </c>
      <c r="AB26" s="21" t="str">
        <f t="shared" si="8"/>
        <v/>
      </c>
      <c r="AC26" s="22" t="str">
        <f t="shared" si="9"/>
        <v/>
      </c>
    </row>
    <row r="27" spans="1:29">
      <c r="A27" s="19">
        <v>22</v>
      </c>
      <c r="B27" s="5"/>
      <c r="C27" s="5"/>
      <c r="D27" s="5"/>
      <c r="E27" s="20"/>
      <c r="F27" s="20"/>
      <c r="G27" s="21" t="str">
        <f t="shared" si="0"/>
        <v/>
      </c>
      <c r="H27" s="22" t="str">
        <f>IF(G27="","",SUMPRODUCT(--(G27&gt;=المساطر!$B$48:$B$57)))</f>
        <v/>
      </c>
      <c r="I27" s="20"/>
      <c r="J27" s="20"/>
      <c r="K27" s="21" t="str">
        <f t="shared" si="1"/>
        <v/>
      </c>
      <c r="L27" s="22" t="str">
        <f>IF(K27="","",SUMPRODUCT(--(K27&gt;=المساطر!$C$48:$C$57)))</f>
        <v/>
      </c>
      <c r="M27" s="20"/>
      <c r="N27" s="20"/>
      <c r="O27" s="21" t="str">
        <f t="shared" si="2"/>
        <v/>
      </c>
      <c r="P27" s="22" t="str">
        <f>IF(O27="","",SUMPRODUCT(--(O27&gt;=المساطر!$D$48:$D$57)))</f>
        <v/>
      </c>
      <c r="Q27" s="12"/>
      <c r="R27" s="12"/>
      <c r="S27" s="23" t="str">
        <f t="shared" si="3"/>
        <v/>
      </c>
      <c r="T27" s="22" t="str">
        <f>IF(S27="","",SUMPRODUCT(--(S27&lt;=المساطر!$E$48:$E$57)))</f>
        <v/>
      </c>
      <c r="U27" s="12"/>
      <c r="V27" s="12"/>
      <c r="W27" s="23" t="str">
        <f t="shared" si="4"/>
        <v/>
      </c>
      <c r="X27" s="22" t="str">
        <f>IF(W27="","",SUMPRODUCT(--(W27&lt;=المساطر!$F$48:$F$57)))</f>
        <v/>
      </c>
      <c r="Y27" s="22" t="str">
        <f t="shared" si="5"/>
        <v/>
      </c>
      <c r="Z27" s="21" t="str">
        <f t="shared" si="6"/>
        <v/>
      </c>
      <c r="AA27" s="4" t="str">
        <f t="shared" si="7"/>
        <v/>
      </c>
      <c r="AB27" s="21" t="str">
        <f t="shared" si="8"/>
        <v/>
      </c>
      <c r="AC27" s="22" t="str">
        <f t="shared" si="9"/>
        <v/>
      </c>
    </row>
    <row r="28" spans="1:29">
      <c r="A28" s="19">
        <v>23</v>
      </c>
      <c r="B28" s="5"/>
      <c r="C28" s="5"/>
      <c r="D28" s="5"/>
      <c r="E28" s="20"/>
      <c r="F28" s="20"/>
      <c r="G28" s="21" t="str">
        <f t="shared" si="0"/>
        <v/>
      </c>
      <c r="H28" s="22" t="str">
        <f>IF(G28="","",SUMPRODUCT(--(G28&gt;=المساطر!$B$48:$B$57)))</f>
        <v/>
      </c>
      <c r="I28" s="20"/>
      <c r="J28" s="20"/>
      <c r="K28" s="21" t="str">
        <f t="shared" si="1"/>
        <v/>
      </c>
      <c r="L28" s="22" t="str">
        <f>IF(K28="","",SUMPRODUCT(--(K28&gt;=المساطر!$C$48:$C$57)))</f>
        <v/>
      </c>
      <c r="M28" s="20"/>
      <c r="N28" s="20"/>
      <c r="O28" s="21" t="str">
        <f t="shared" si="2"/>
        <v/>
      </c>
      <c r="P28" s="22" t="str">
        <f>IF(O28="","",SUMPRODUCT(--(O28&gt;=المساطر!$D$48:$D$57)))</f>
        <v/>
      </c>
      <c r="Q28" s="12"/>
      <c r="R28" s="12"/>
      <c r="S28" s="23" t="str">
        <f t="shared" si="3"/>
        <v/>
      </c>
      <c r="T28" s="22" t="str">
        <f>IF(S28="","",SUMPRODUCT(--(S28&lt;=المساطر!$E$48:$E$57)))</f>
        <v/>
      </c>
      <c r="U28" s="12"/>
      <c r="V28" s="12"/>
      <c r="W28" s="23" t="str">
        <f t="shared" si="4"/>
        <v/>
      </c>
      <c r="X28" s="22" t="str">
        <f>IF(W28="","",SUMPRODUCT(--(W28&lt;=المساطر!$F$48:$F$57)))</f>
        <v/>
      </c>
      <c r="Y28" s="22" t="str">
        <f t="shared" si="5"/>
        <v/>
      </c>
      <c r="Z28" s="21" t="str">
        <f t="shared" si="6"/>
        <v/>
      </c>
      <c r="AA28" s="4" t="str">
        <f t="shared" si="7"/>
        <v/>
      </c>
      <c r="AB28" s="21" t="str">
        <f t="shared" si="8"/>
        <v/>
      </c>
      <c r="AC28" s="22" t="str">
        <f t="shared" si="9"/>
        <v/>
      </c>
    </row>
    <row r="29" spans="1:29">
      <c r="A29" s="19">
        <v>24</v>
      </c>
      <c r="B29" s="5"/>
      <c r="C29" s="5"/>
      <c r="D29" s="5"/>
      <c r="E29" s="20"/>
      <c r="F29" s="20"/>
      <c r="G29" s="21" t="str">
        <f t="shared" si="0"/>
        <v/>
      </c>
      <c r="H29" s="22" t="str">
        <f>IF(G29="","",SUMPRODUCT(--(G29&gt;=المساطر!$B$48:$B$57)))</f>
        <v/>
      </c>
      <c r="I29" s="20"/>
      <c r="J29" s="20"/>
      <c r="K29" s="21" t="str">
        <f t="shared" si="1"/>
        <v/>
      </c>
      <c r="L29" s="22" t="str">
        <f>IF(K29="","",SUMPRODUCT(--(K29&gt;=المساطر!$C$48:$C$57)))</f>
        <v/>
      </c>
      <c r="M29" s="20"/>
      <c r="N29" s="20"/>
      <c r="O29" s="21" t="str">
        <f t="shared" si="2"/>
        <v/>
      </c>
      <c r="P29" s="22" t="str">
        <f>IF(O29="","",SUMPRODUCT(--(O29&gt;=المساطر!$D$48:$D$57)))</f>
        <v/>
      </c>
      <c r="Q29" s="12"/>
      <c r="R29" s="12"/>
      <c r="S29" s="23" t="str">
        <f t="shared" si="3"/>
        <v/>
      </c>
      <c r="T29" s="22" t="str">
        <f>IF(S29="","",SUMPRODUCT(--(S29&lt;=المساطر!$E$48:$E$57)))</f>
        <v/>
      </c>
      <c r="U29" s="12"/>
      <c r="V29" s="12"/>
      <c r="W29" s="23" t="str">
        <f t="shared" si="4"/>
        <v/>
      </c>
      <c r="X29" s="22" t="str">
        <f>IF(W29="","",SUMPRODUCT(--(W29&lt;=المساطر!$F$48:$F$57)))</f>
        <v/>
      </c>
      <c r="Y29" s="22" t="str">
        <f t="shared" si="5"/>
        <v/>
      </c>
      <c r="Z29" s="21" t="str">
        <f t="shared" si="6"/>
        <v/>
      </c>
      <c r="AA29" s="4" t="str">
        <f t="shared" si="7"/>
        <v/>
      </c>
      <c r="AB29" s="21" t="str">
        <f t="shared" si="8"/>
        <v/>
      </c>
      <c r="AC29" s="22" t="str">
        <f t="shared" si="9"/>
        <v/>
      </c>
    </row>
    <row r="30" spans="1:29">
      <c r="A30" s="19">
        <v>25</v>
      </c>
      <c r="B30" s="5"/>
      <c r="C30" s="5"/>
      <c r="D30" s="5"/>
      <c r="E30" s="20"/>
      <c r="F30" s="20"/>
      <c r="G30" s="21" t="str">
        <f t="shared" si="0"/>
        <v/>
      </c>
      <c r="H30" s="22" t="str">
        <f>IF(G30="","",SUMPRODUCT(--(G30&gt;=المساطر!$B$48:$B$57)))</f>
        <v/>
      </c>
      <c r="I30" s="20"/>
      <c r="J30" s="20"/>
      <c r="K30" s="21" t="str">
        <f t="shared" si="1"/>
        <v/>
      </c>
      <c r="L30" s="22" t="str">
        <f>IF(K30="","",SUMPRODUCT(--(K30&gt;=المساطر!$C$48:$C$57)))</f>
        <v/>
      </c>
      <c r="M30" s="20"/>
      <c r="N30" s="20"/>
      <c r="O30" s="21" t="str">
        <f t="shared" si="2"/>
        <v/>
      </c>
      <c r="P30" s="22" t="str">
        <f>IF(O30="","",SUMPRODUCT(--(O30&gt;=المساطر!$D$48:$D$57)))</f>
        <v/>
      </c>
      <c r="Q30" s="12"/>
      <c r="R30" s="12"/>
      <c r="S30" s="23" t="str">
        <f t="shared" si="3"/>
        <v/>
      </c>
      <c r="T30" s="22" t="str">
        <f>IF(S30="","",SUMPRODUCT(--(S30&lt;=المساطر!$E$48:$E$57)))</f>
        <v/>
      </c>
      <c r="U30" s="12"/>
      <c r="V30" s="12"/>
      <c r="W30" s="23" t="str">
        <f t="shared" si="4"/>
        <v/>
      </c>
      <c r="X30" s="22" t="str">
        <f>IF(W30="","",SUMPRODUCT(--(W30&lt;=المساطر!$F$48:$F$57)))</f>
        <v/>
      </c>
      <c r="Y30" s="22" t="str">
        <f t="shared" si="5"/>
        <v/>
      </c>
      <c r="Z30" s="21" t="str">
        <f t="shared" si="6"/>
        <v/>
      </c>
      <c r="AA30" s="4" t="str">
        <f t="shared" si="7"/>
        <v/>
      </c>
      <c r="AB30" s="21" t="str">
        <f t="shared" si="8"/>
        <v/>
      </c>
      <c r="AC30" s="22" t="str">
        <f t="shared" si="9"/>
        <v/>
      </c>
    </row>
    <row r="31" spans="1:29">
      <c r="A31" s="19">
        <v>26</v>
      </c>
      <c r="B31" s="5"/>
      <c r="C31" s="5"/>
      <c r="D31" s="5"/>
      <c r="E31" s="20"/>
      <c r="F31" s="20"/>
      <c r="G31" s="21" t="str">
        <f t="shared" si="0"/>
        <v/>
      </c>
      <c r="H31" s="22" t="str">
        <f>IF(G31="","",SUMPRODUCT(--(G31&gt;=المساطر!$B$48:$B$57)))</f>
        <v/>
      </c>
      <c r="I31" s="20"/>
      <c r="J31" s="20"/>
      <c r="K31" s="21" t="str">
        <f t="shared" si="1"/>
        <v/>
      </c>
      <c r="L31" s="22" t="str">
        <f>IF(K31="","",SUMPRODUCT(--(K31&gt;=المساطر!$C$48:$C$57)))</f>
        <v/>
      </c>
      <c r="M31" s="20"/>
      <c r="N31" s="20"/>
      <c r="O31" s="21" t="str">
        <f t="shared" si="2"/>
        <v/>
      </c>
      <c r="P31" s="22" t="str">
        <f>IF(O31="","",SUMPRODUCT(--(O31&gt;=المساطر!$D$48:$D$57)))</f>
        <v/>
      </c>
      <c r="Q31" s="12"/>
      <c r="R31" s="12"/>
      <c r="S31" s="23" t="str">
        <f t="shared" si="3"/>
        <v/>
      </c>
      <c r="T31" s="22" t="str">
        <f>IF(S31="","",SUMPRODUCT(--(S31&lt;=المساطر!$E$48:$E$57)))</f>
        <v/>
      </c>
      <c r="U31" s="12"/>
      <c r="V31" s="12"/>
      <c r="W31" s="23" t="str">
        <f t="shared" si="4"/>
        <v/>
      </c>
      <c r="X31" s="22" t="str">
        <f>IF(W31="","",SUMPRODUCT(--(W31&lt;=المساطر!$F$48:$F$57)))</f>
        <v/>
      </c>
      <c r="Y31" s="22" t="str">
        <f t="shared" si="5"/>
        <v/>
      </c>
      <c r="Z31" s="21" t="str">
        <f t="shared" si="6"/>
        <v/>
      </c>
      <c r="AA31" s="4" t="str">
        <f t="shared" si="7"/>
        <v/>
      </c>
      <c r="AB31" s="21" t="str">
        <f t="shared" si="8"/>
        <v/>
      </c>
      <c r="AC31" s="22" t="str">
        <f t="shared" si="9"/>
        <v/>
      </c>
    </row>
    <row r="32" spans="1:29">
      <c r="A32" s="19">
        <v>27</v>
      </c>
      <c r="B32" s="5"/>
      <c r="C32" s="5"/>
      <c r="D32" s="5"/>
      <c r="E32" s="20"/>
      <c r="F32" s="20"/>
      <c r="G32" s="21" t="str">
        <f t="shared" si="0"/>
        <v/>
      </c>
      <c r="H32" s="22" t="str">
        <f>IF(G32="","",SUMPRODUCT(--(G32&gt;=المساطر!$B$48:$B$57)))</f>
        <v/>
      </c>
      <c r="I32" s="20"/>
      <c r="J32" s="20"/>
      <c r="K32" s="21" t="str">
        <f t="shared" si="1"/>
        <v/>
      </c>
      <c r="L32" s="22" t="str">
        <f>IF(K32="","",SUMPRODUCT(--(K32&gt;=المساطر!$C$48:$C$57)))</f>
        <v/>
      </c>
      <c r="M32" s="20"/>
      <c r="N32" s="20"/>
      <c r="O32" s="21" t="str">
        <f t="shared" si="2"/>
        <v/>
      </c>
      <c r="P32" s="22" t="str">
        <f>IF(O32="","",SUMPRODUCT(--(O32&gt;=المساطر!$D$48:$D$57)))</f>
        <v/>
      </c>
      <c r="Q32" s="12"/>
      <c r="R32" s="12"/>
      <c r="S32" s="23" t="str">
        <f t="shared" si="3"/>
        <v/>
      </c>
      <c r="T32" s="22" t="str">
        <f>IF(S32="","",SUMPRODUCT(--(S32&lt;=المساطر!$E$48:$E$57)))</f>
        <v/>
      </c>
      <c r="U32" s="12"/>
      <c r="V32" s="12"/>
      <c r="W32" s="23" t="str">
        <f t="shared" si="4"/>
        <v/>
      </c>
      <c r="X32" s="22" t="str">
        <f>IF(W32="","",SUMPRODUCT(--(W32&lt;=المساطر!$F$48:$F$57)))</f>
        <v/>
      </c>
      <c r="Y32" s="22" t="str">
        <f t="shared" si="5"/>
        <v/>
      </c>
      <c r="Z32" s="21" t="str">
        <f t="shared" si="6"/>
        <v/>
      </c>
      <c r="AA32" s="4" t="str">
        <f t="shared" si="7"/>
        <v/>
      </c>
      <c r="AB32" s="21" t="str">
        <f t="shared" si="8"/>
        <v/>
      </c>
      <c r="AC32" s="22" t="str">
        <f t="shared" si="9"/>
        <v/>
      </c>
    </row>
    <row r="33" spans="1:30">
      <c r="A33" s="19">
        <v>28</v>
      </c>
      <c r="B33" s="5"/>
      <c r="C33" s="5"/>
      <c r="D33" s="5"/>
      <c r="E33" s="20"/>
      <c r="F33" s="20"/>
      <c r="G33" s="21" t="str">
        <f t="shared" si="0"/>
        <v/>
      </c>
      <c r="H33" s="22" t="str">
        <f>IF(G33="","",SUMPRODUCT(--(G33&gt;=المساطر!$B$48:$B$57)))</f>
        <v/>
      </c>
      <c r="I33" s="20"/>
      <c r="J33" s="20"/>
      <c r="K33" s="21" t="str">
        <f t="shared" si="1"/>
        <v/>
      </c>
      <c r="L33" s="22" t="str">
        <f>IF(K33="","",SUMPRODUCT(--(K33&gt;=المساطر!$C$48:$C$57)))</f>
        <v/>
      </c>
      <c r="M33" s="20"/>
      <c r="N33" s="20"/>
      <c r="O33" s="21" t="str">
        <f t="shared" si="2"/>
        <v/>
      </c>
      <c r="P33" s="22" t="str">
        <f>IF(O33="","",SUMPRODUCT(--(O33&gt;=المساطر!$D$48:$D$57)))</f>
        <v/>
      </c>
      <c r="Q33" s="12"/>
      <c r="R33" s="12"/>
      <c r="S33" s="23" t="str">
        <f t="shared" si="3"/>
        <v/>
      </c>
      <c r="T33" s="22" t="str">
        <f>IF(S33="","",SUMPRODUCT(--(S33&lt;=المساطر!$E$48:$E$57)))</f>
        <v/>
      </c>
      <c r="U33" s="12"/>
      <c r="V33" s="12"/>
      <c r="W33" s="23" t="str">
        <f t="shared" si="4"/>
        <v/>
      </c>
      <c r="X33" s="22" t="str">
        <f>IF(W33="","",SUMPRODUCT(--(W33&lt;=المساطر!$F$48:$F$57)))</f>
        <v/>
      </c>
      <c r="Y33" s="22" t="str">
        <f t="shared" si="5"/>
        <v/>
      </c>
      <c r="Z33" s="21" t="str">
        <f t="shared" si="6"/>
        <v/>
      </c>
      <c r="AA33" s="4" t="str">
        <f t="shared" si="7"/>
        <v/>
      </c>
      <c r="AB33" s="21" t="str">
        <f t="shared" si="8"/>
        <v/>
      </c>
      <c r="AC33" s="22" t="str">
        <f t="shared" si="9"/>
        <v/>
      </c>
    </row>
    <row r="34" spans="1:30">
      <c r="A34" s="19">
        <v>29</v>
      </c>
      <c r="B34" s="5"/>
      <c r="C34" s="5"/>
      <c r="D34" s="5"/>
      <c r="E34" s="20"/>
      <c r="F34" s="20"/>
      <c r="G34" s="21" t="str">
        <f t="shared" si="0"/>
        <v/>
      </c>
      <c r="H34" s="22" t="str">
        <f>IF(G34="","",SUMPRODUCT(--(G34&gt;=المساطر!$B$48:$B$57)))</f>
        <v/>
      </c>
      <c r="I34" s="20"/>
      <c r="J34" s="20"/>
      <c r="K34" s="21" t="str">
        <f t="shared" si="1"/>
        <v/>
      </c>
      <c r="L34" s="22" t="str">
        <f>IF(K34="","",SUMPRODUCT(--(K34&gt;=المساطر!$C$48:$C$57)))</f>
        <v/>
      </c>
      <c r="M34" s="20"/>
      <c r="N34" s="20"/>
      <c r="O34" s="21" t="str">
        <f t="shared" si="2"/>
        <v/>
      </c>
      <c r="P34" s="22" t="str">
        <f>IF(O34="","",SUMPRODUCT(--(O34&gt;=المساطر!$D$48:$D$57)))</f>
        <v/>
      </c>
      <c r="Q34" s="12"/>
      <c r="R34" s="12"/>
      <c r="S34" s="23" t="str">
        <f t="shared" si="3"/>
        <v/>
      </c>
      <c r="T34" s="22" t="str">
        <f>IF(S34="","",SUMPRODUCT(--(S34&lt;=المساطر!$E$48:$E$57)))</f>
        <v/>
      </c>
      <c r="U34" s="12"/>
      <c r="V34" s="12"/>
      <c r="W34" s="23" t="str">
        <f t="shared" si="4"/>
        <v/>
      </c>
      <c r="X34" s="22" t="str">
        <f>IF(W34="","",SUMPRODUCT(--(W34&lt;=المساطر!$F$48:$F$57)))</f>
        <v/>
      </c>
      <c r="Y34" s="22" t="str">
        <f t="shared" si="5"/>
        <v/>
      </c>
      <c r="Z34" s="21" t="str">
        <f t="shared" si="6"/>
        <v/>
      </c>
      <c r="AA34" s="4" t="str">
        <f t="shared" si="7"/>
        <v/>
      </c>
      <c r="AB34" s="21" t="str">
        <f t="shared" si="8"/>
        <v/>
      </c>
      <c r="AC34" s="22" t="str">
        <f t="shared" si="9"/>
        <v/>
      </c>
    </row>
    <row r="35" spans="1:30">
      <c r="A35" s="19">
        <v>30</v>
      </c>
      <c r="B35" s="5"/>
      <c r="C35" s="5"/>
      <c r="D35" s="5"/>
      <c r="E35" s="20"/>
      <c r="F35" s="20"/>
      <c r="G35" s="21" t="str">
        <f t="shared" si="0"/>
        <v/>
      </c>
      <c r="H35" s="22" t="str">
        <f>IF(G35="","",SUMPRODUCT(--(G35&gt;=المساطر!$B$48:$B$57)))</f>
        <v/>
      </c>
      <c r="I35" s="20"/>
      <c r="J35" s="20"/>
      <c r="K35" s="21" t="str">
        <f t="shared" si="1"/>
        <v/>
      </c>
      <c r="L35" s="22" t="str">
        <f>IF(K35="","",SUMPRODUCT(--(K35&gt;=المساطر!$C$48:$C$57)))</f>
        <v/>
      </c>
      <c r="M35" s="20"/>
      <c r="N35" s="20"/>
      <c r="O35" s="21" t="str">
        <f t="shared" si="2"/>
        <v/>
      </c>
      <c r="P35" s="22" t="str">
        <f>IF(O35="","",SUMPRODUCT(--(O35&gt;=المساطر!$D$48:$D$57)))</f>
        <v/>
      </c>
      <c r="Q35" s="12"/>
      <c r="R35" s="12"/>
      <c r="S35" s="23" t="str">
        <f t="shared" si="3"/>
        <v/>
      </c>
      <c r="T35" s="22" t="str">
        <f>IF(S35="","",SUMPRODUCT(--(S35&lt;=المساطر!$E$48:$E$57)))</f>
        <v/>
      </c>
      <c r="U35" s="12"/>
      <c r="V35" s="12"/>
      <c r="W35" s="23" t="str">
        <f t="shared" si="4"/>
        <v/>
      </c>
      <c r="X35" s="22" t="str">
        <f>IF(W35="","",SUMPRODUCT(--(W35&lt;=المساطر!$F$48:$F$57)))</f>
        <v/>
      </c>
      <c r="Y35" s="22" t="str">
        <f t="shared" si="5"/>
        <v/>
      </c>
      <c r="Z35" s="21" t="str">
        <f t="shared" si="6"/>
        <v/>
      </c>
      <c r="AA35" s="4" t="str">
        <f t="shared" si="7"/>
        <v/>
      </c>
      <c r="AB35" s="21" t="str">
        <f t="shared" si="8"/>
        <v/>
      </c>
      <c r="AC35" s="22" t="str">
        <f t="shared" si="9"/>
        <v/>
      </c>
    </row>
    <row r="36" spans="1:30">
      <c r="A36" s="19">
        <v>31</v>
      </c>
      <c r="B36" s="5"/>
      <c r="C36" s="5"/>
      <c r="D36" s="5"/>
      <c r="E36" s="20"/>
      <c r="F36" s="20"/>
      <c r="G36" s="21" t="str">
        <f t="shared" si="0"/>
        <v/>
      </c>
      <c r="H36" s="22" t="str">
        <f>IF(G36="","",SUMPRODUCT(--(G36&gt;=المساطر!$B$48:$B$57)))</f>
        <v/>
      </c>
      <c r="I36" s="20"/>
      <c r="J36" s="20"/>
      <c r="K36" s="21" t="str">
        <f t="shared" si="1"/>
        <v/>
      </c>
      <c r="L36" s="22" t="str">
        <f>IF(K36="","",SUMPRODUCT(--(K36&gt;=المساطر!$C$48:$C$57)))</f>
        <v/>
      </c>
      <c r="M36" s="20"/>
      <c r="N36" s="20"/>
      <c r="O36" s="21" t="str">
        <f t="shared" si="2"/>
        <v/>
      </c>
      <c r="P36" s="22" t="str">
        <f>IF(O36="","",SUMPRODUCT(--(O36&gt;=المساطر!$D$48:$D$57)))</f>
        <v/>
      </c>
      <c r="Q36" s="12"/>
      <c r="R36" s="12"/>
      <c r="S36" s="23" t="str">
        <f t="shared" si="3"/>
        <v/>
      </c>
      <c r="T36" s="22" t="str">
        <f>IF(S36="","",SUMPRODUCT(--(S36&lt;=المساطر!$E$48:$E$57)))</f>
        <v/>
      </c>
      <c r="U36" s="12"/>
      <c r="V36" s="12"/>
      <c r="W36" s="23" t="str">
        <f t="shared" si="4"/>
        <v/>
      </c>
      <c r="X36" s="22" t="str">
        <f>IF(W36="","",SUMPRODUCT(--(W36&lt;=المساطر!$F$48:$F$57)))</f>
        <v/>
      </c>
      <c r="Y36" s="22" t="str">
        <f t="shared" si="5"/>
        <v/>
      </c>
      <c r="Z36" s="21" t="str">
        <f t="shared" si="6"/>
        <v/>
      </c>
      <c r="AA36" s="4" t="str">
        <f t="shared" si="7"/>
        <v/>
      </c>
      <c r="AB36" s="21" t="str">
        <f t="shared" si="8"/>
        <v/>
      </c>
      <c r="AC36" s="22" t="str">
        <f t="shared" si="9"/>
        <v/>
      </c>
    </row>
    <row r="37" spans="1:30">
      <c r="A37" s="19">
        <v>32</v>
      </c>
      <c r="B37" s="5"/>
      <c r="C37" s="5"/>
      <c r="D37" s="5"/>
      <c r="E37" s="20"/>
      <c r="F37" s="20"/>
      <c r="G37" s="21" t="str">
        <f t="shared" si="0"/>
        <v/>
      </c>
      <c r="H37" s="22" t="str">
        <f>IF(G37="","",SUMPRODUCT(--(G37&gt;=المساطر!$B$48:$B$57)))</f>
        <v/>
      </c>
      <c r="I37" s="20"/>
      <c r="J37" s="20"/>
      <c r="K37" s="21" t="str">
        <f t="shared" si="1"/>
        <v/>
      </c>
      <c r="L37" s="22" t="str">
        <f>IF(K37="","",SUMPRODUCT(--(K37&gt;=المساطر!$C$48:$C$57)))</f>
        <v/>
      </c>
      <c r="M37" s="20"/>
      <c r="N37" s="20"/>
      <c r="O37" s="21" t="str">
        <f t="shared" si="2"/>
        <v/>
      </c>
      <c r="P37" s="22" t="str">
        <f>IF(O37="","",SUMPRODUCT(--(O37&gt;=المساطر!$D$48:$D$57)))</f>
        <v/>
      </c>
      <c r="Q37" s="12"/>
      <c r="R37" s="12"/>
      <c r="S37" s="23" t="str">
        <f t="shared" si="3"/>
        <v/>
      </c>
      <c r="T37" s="22" t="str">
        <f>IF(S37="","",SUMPRODUCT(--(S37&lt;=المساطر!$E$48:$E$57)))</f>
        <v/>
      </c>
      <c r="U37" s="12"/>
      <c r="V37" s="12"/>
      <c r="W37" s="23" t="str">
        <f t="shared" si="4"/>
        <v/>
      </c>
      <c r="X37" s="22" t="str">
        <f>IF(W37="","",SUMPRODUCT(--(W37&lt;=المساطر!$F$48:$F$57)))</f>
        <v/>
      </c>
      <c r="Y37" s="22" t="str">
        <f t="shared" si="5"/>
        <v/>
      </c>
      <c r="Z37" s="21" t="str">
        <f t="shared" si="6"/>
        <v/>
      </c>
      <c r="AA37" s="4" t="str">
        <f t="shared" si="7"/>
        <v/>
      </c>
      <c r="AB37" s="21" t="str">
        <f t="shared" si="8"/>
        <v/>
      </c>
      <c r="AC37" s="22" t="str">
        <f t="shared" si="9"/>
        <v/>
      </c>
    </row>
    <row r="38" spans="1:30">
      <c r="A38" s="19">
        <v>33</v>
      </c>
      <c r="B38" s="5"/>
      <c r="C38" s="5"/>
      <c r="D38" s="5"/>
      <c r="E38" s="20"/>
      <c r="F38" s="20"/>
      <c r="G38" s="21" t="str">
        <f t="shared" si="0"/>
        <v/>
      </c>
      <c r="H38" s="22" t="str">
        <f>IF(G38="","",SUMPRODUCT(--(G38&gt;=المساطر!$B$48:$B$57)))</f>
        <v/>
      </c>
      <c r="I38" s="20"/>
      <c r="J38" s="20"/>
      <c r="K38" s="21" t="str">
        <f t="shared" si="1"/>
        <v/>
      </c>
      <c r="L38" s="22" t="str">
        <f>IF(K38="","",SUMPRODUCT(--(K38&gt;=المساطر!$C$48:$C$57)))</f>
        <v/>
      </c>
      <c r="M38" s="20"/>
      <c r="N38" s="20"/>
      <c r="O38" s="21" t="str">
        <f t="shared" si="2"/>
        <v/>
      </c>
      <c r="P38" s="22" t="str">
        <f>IF(O38="","",SUMPRODUCT(--(O38&gt;=المساطر!$D$48:$D$57)))</f>
        <v/>
      </c>
      <c r="Q38" s="12"/>
      <c r="R38" s="12"/>
      <c r="S38" s="23" t="str">
        <f t="shared" si="3"/>
        <v/>
      </c>
      <c r="T38" s="22" t="str">
        <f>IF(S38="","",SUMPRODUCT(--(S38&lt;=المساطر!$E$48:$E$57)))</f>
        <v/>
      </c>
      <c r="U38" s="12"/>
      <c r="V38" s="12"/>
      <c r="W38" s="23" t="str">
        <f t="shared" si="4"/>
        <v/>
      </c>
      <c r="X38" s="22" t="str">
        <f>IF(W38="","",SUMPRODUCT(--(W38&lt;=المساطر!$F$48:$F$57)))</f>
        <v/>
      </c>
      <c r="Y38" s="22" t="str">
        <f t="shared" si="5"/>
        <v/>
      </c>
      <c r="Z38" s="21" t="str">
        <f t="shared" si="6"/>
        <v/>
      </c>
      <c r="AA38" s="4" t="str">
        <f t="shared" si="7"/>
        <v/>
      </c>
      <c r="AB38" s="21" t="str">
        <f t="shared" si="8"/>
        <v/>
      </c>
      <c r="AC38" s="22" t="str">
        <f t="shared" si="9"/>
        <v/>
      </c>
    </row>
    <row r="39" spans="1:30">
      <c r="A39" s="19">
        <v>34</v>
      </c>
      <c r="B39" s="5"/>
      <c r="C39" s="5"/>
      <c r="D39" s="5"/>
      <c r="E39" s="20"/>
      <c r="F39" s="20"/>
      <c r="G39" s="21" t="str">
        <f t="shared" si="0"/>
        <v/>
      </c>
      <c r="H39" s="22" t="str">
        <f>IF(G39="","",SUMPRODUCT(--(G39&gt;=المساطر!$B$48:$B$57)))</f>
        <v/>
      </c>
      <c r="I39" s="20"/>
      <c r="J39" s="20"/>
      <c r="K39" s="21" t="str">
        <f t="shared" si="1"/>
        <v/>
      </c>
      <c r="L39" s="22" t="str">
        <f>IF(K39="","",SUMPRODUCT(--(K39&gt;=المساطر!$C$48:$C$57)))</f>
        <v/>
      </c>
      <c r="M39" s="20"/>
      <c r="N39" s="20"/>
      <c r="O39" s="21" t="str">
        <f t="shared" si="2"/>
        <v/>
      </c>
      <c r="P39" s="22" t="str">
        <f>IF(O39="","",SUMPRODUCT(--(O39&gt;=المساطر!$D$48:$D$57)))</f>
        <v/>
      </c>
      <c r="Q39" s="12"/>
      <c r="R39" s="12"/>
      <c r="S39" s="23" t="str">
        <f t="shared" si="3"/>
        <v/>
      </c>
      <c r="T39" s="22" t="str">
        <f>IF(S39="","",SUMPRODUCT(--(S39&lt;=المساطر!$E$48:$E$57)))</f>
        <v/>
      </c>
      <c r="U39" s="12"/>
      <c r="V39" s="12"/>
      <c r="W39" s="23" t="str">
        <f t="shared" si="4"/>
        <v/>
      </c>
      <c r="X39" s="22" t="str">
        <f>IF(W39="","",SUMPRODUCT(--(W39&lt;=المساطر!$F$48:$F$57)))</f>
        <v/>
      </c>
      <c r="Y39" s="22" t="str">
        <f t="shared" si="5"/>
        <v/>
      </c>
      <c r="Z39" s="21" t="str">
        <f t="shared" si="6"/>
        <v/>
      </c>
      <c r="AA39" s="4" t="str">
        <f t="shared" si="7"/>
        <v/>
      </c>
      <c r="AB39" s="21" t="str">
        <f t="shared" si="8"/>
        <v/>
      </c>
      <c r="AC39" s="22" t="str">
        <f t="shared" si="9"/>
        <v/>
      </c>
    </row>
    <row r="40" spans="1:30">
      <c r="A40" s="19">
        <v>35</v>
      </c>
      <c r="B40" s="5"/>
      <c r="C40" s="5"/>
      <c r="D40" s="5"/>
      <c r="E40" s="20"/>
      <c r="F40" s="20"/>
      <c r="G40" s="21" t="str">
        <f t="shared" si="0"/>
        <v/>
      </c>
      <c r="H40" s="22" t="str">
        <f>IF(G40="","",SUMPRODUCT(--(G40&gt;=المساطر!$B$48:$B$57)))</f>
        <v/>
      </c>
      <c r="I40" s="20"/>
      <c r="J40" s="20"/>
      <c r="K40" s="21" t="str">
        <f t="shared" si="1"/>
        <v/>
      </c>
      <c r="L40" s="22" t="str">
        <f>IF(K40="","",SUMPRODUCT(--(K40&gt;=المساطر!$C$48:$C$57)))</f>
        <v/>
      </c>
      <c r="M40" s="20"/>
      <c r="N40" s="20"/>
      <c r="O40" s="21" t="str">
        <f t="shared" si="2"/>
        <v/>
      </c>
      <c r="P40" s="22" t="str">
        <f>IF(O40="","",SUMPRODUCT(--(O40&gt;=المساطر!$D$48:$D$57)))</f>
        <v/>
      </c>
      <c r="Q40" s="12"/>
      <c r="R40" s="12"/>
      <c r="S40" s="23" t="str">
        <f t="shared" si="3"/>
        <v/>
      </c>
      <c r="T40" s="22" t="str">
        <f>IF(S40="","",SUMPRODUCT(--(S40&lt;=المساطر!$E$48:$E$57)))</f>
        <v/>
      </c>
      <c r="U40" s="12"/>
      <c r="V40" s="12"/>
      <c r="W40" s="23" t="str">
        <f t="shared" si="4"/>
        <v/>
      </c>
      <c r="X40" s="22" t="str">
        <f>IF(W40="","",SUMPRODUCT(--(W40&lt;=المساطر!$F$48:$F$57)))</f>
        <v/>
      </c>
      <c r="Y40" s="22" t="str">
        <f t="shared" si="5"/>
        <v/>
      </c>
      <c r="Z40" s="21" t="str">
        <f t="shared" si="6"/>
        <v/>
      </c>
      <c r="AA40" s="4" t="str">
        <f t="shared" si="7"/>
        <v/>
      </c>
      <c r="AB40" s="21" t="str">
        <f t="shared" si="8"/>
        <v/>
      </c>
      <c r="AC40" s="22" t="str">
        <f t="shared" si="9"/>
        <v/>
      </c>
    </row>
    <row r="41" spans="1:30">
      <c r="A41" s="19">
        <v>36</v>
      </c>
      <c r="B41" s="5"/>
      <c r="C41" s="5"/>
      <c r="D41" s="5"/>
      <c r="E41" s="20"/>
      <c r="F41" s="20"/>
      <c r="G41" s="21" t="str">
        <f t="shared" si="0"/>
        <v/>
      </c>
      <c r="H41" s="22" t="str">
        <f>IF(G41="","",SUMPRODUCT(--(G41&gt;=المساطر!$B$48:$B$57)))</f>
        <v/>
      </c>
      <c r="I41" s="20"/>
      <c r="J41" s="20"/>
      <c r="K41" s="21" t="str">
        <f t="shared" si="1"/>
        <v/>
      </c>
      <c r="L41" s="22" t="str">
        <f>IF(K41="","",SUMPRODUCT(--(K41&gt;=المساطر!$C$48:$C$57)))</f>
        <v/>
      </c>
      <c r="M41" s="20"/>
      <c r="N41" s="20"/>
      <c r="O41" s="21" t="str">
        <f t="shared" si="2"/>
        <v/>
      </c>
      <c r="P41" s="22" t="str">
        <f>IF(O41="","",SUMPRODUCT(--(O41&gt;=المساطر!$D$48:$D$57)))</f>
        <v/>
      </c>
      <c r="Q41" s="12"/>
      <c r="R41" s="12"/>
      <c r="S41" s="23" t="str">
        <f t="shared" si="3"/>
        <v/>
      </c>
      <c r="T41" s="22" t="str">
        <f>IF(S41="","",SUMPRODUCT(--(S41&lt;=المساطر!$E$48:$E$57)))</f>
        <v/>
      </c>
      <c r="U41" s="12"/>
      <c r="V41" s="12"/>
      <c r="W41" s="23" t="str">
        <f t="shared" si="4"/>
        <v/>
      </c>
      <c r="X41" s="22" t="str">
        <f>IF(W41="","",SUMPRODUCT(--(W41&lt;=المساطر!$F$48:$F$57)))</f>
        <v/>
      </c>
      <c r="Y41" s="22" t="str">
        <f t="shared" si="5"/>
        <v/>
      </c>
      <c r="Z41" s="21" t="str">
        <f t="shared" si="6"/>
        <v/>
      </c>
      <c r="AA41" s="4" t="str">
        <f t="shared" si="7"/>
        <v/>
      </c>
      <c r="AB41" s="21" t="str">
        <f t="shared" si="8"/>
        <v/>
      </c>
      <c r="AC41" s="22" t="str">
        <f t="shared" si="9"/>
        <v/>
      </c>
    </row>
    <row r="42" spans="1:30">
      <c r="A42" s="19">
        <v>37</v>
      </c>
      <c r="B42" s="5"/>
      <c r="C42" s="5"/>
      <c r="D42" s="5"/>
      <c r="E42" s="20"/>
      <c r="F42" s="20"/>
      <c r="G42" s="21" t="str">
        <f t="shared" si="0"/>
        <v/>
      </c>
      <c r="H42" s="22" t="str">
        <f>IF(G42="","",SUMPRODUCT(--(G42&gt;=المساطر!$B$48:$B$57)))</f>
        <v/>
      </c>
      <c r="I42" s="20"/>
      <c r="J42" s="20"/>
      <c r="K42" s="21" t="str">
        <f t="shared" si="1"/>
        <v/>
      </c>
      <c r="L42" s="22" t="str">
        <f>IF(K42="","",SUMPRODUCT(--(K42&gt;=المساطر!$C$48:$C$57)))</f>
        <v/>
      </c>
      <c r="M42" s="20"/>
      <c r="N42" s="20"/>
      <c r="O42" s="21" t="str">
        <f t="shared" si="2"/>
        <v/>
      </c>
      <c r="P42" s="22" t="str">
        <f>IF(O42="","",SUMPRODUCT(--(O42&gt;=المساطر!$D$48:$D$57)))</f>
        <v/>
      </c>
      <c r="Q42" s="12"/>
      <c r="R42" s="12"/>
      <c r="S42" s="23" t="str">
        <f t="shared" si="3"/>
        <v/>
      </c>
      <c r="T42" s="22" t="str">
        <f>IF(S42="","",SUMPRODUCT(--(S42&lt;=المساطر!$E$48:$E$57)))</f>
        <v/>
      </c>
      <c r="U42" s="12"/>
      <c r="V42" s="12"/>
      <c r="W42" s="23" t="str">
        <f t="shared" si="4"/>
        <v/>
      </c>
      <c r="X42" s="22" t="str">
        <f>IF(W42="","",SUMPRODUCT(--(W42&lt;=المساطر!$F$48:$F$57)))</f>
        <v/>
      </c>
      <c r="Y42" s="22" t="str">
        <f t="shared" si="5"/>
        <v/>
      </c>
      <c r="Z42" s="21" t="str">
        <f t="shared" si="6"/>
        <v/>
      </c>
      <c r="AA42" s="4" t="str">
        <f t="shared" si="7"/>
        <v/>
      </c>
      <c r="AB42" s="21" t="str">
        <f t="shared" si="8"/>
        <v/>
      </c>
      <c r="AC42" s="22" t="str">
        <f t="shared" si="9"/>
        <v/>
      </c>
    </row>
    <row r="43" spans="1:30">
      <c r="A43" s="19">
        <v>38</v>
      </c>
      <c r="B43" s="5"/>
      <c r="C43" s="5"/>
      <c r="D43" s="5"/>
      <c r="E43" s="20"/>
      <c r="F43" s="20"/>
      <c r="G43" s="21" t="str">
        <f t="shared" si="0"/>
        <v/>
      </c>
      <c r="H43" s="22" t="str">
        <f>IF(G43="","",SUMPRODUCT(--(G43&gt;=المساطر!$B$48:$B$57)))</f>
        <v/>
      </c>
      <c r="I43" s="20"/>
      <c r="J43" s="20"/>
      <c r="K43" s="21" t="str">
        <f t="shared" si="1"/>
        <v/>
      </c>
      <c r="L43" s="22" t="str">
        <f>IF(K43="","",SUMPRODUCT(--(K43&gt;=المساطر!$C$48:$C$57)))</f>
        <v/>
      </c>
      <c r="M43" s="20"/>
      <c r="N43" s="20"/>
      <c r="O43" s="21" t="str">
        <f t="shared" si="2"/>
        <v/>
      </c>
      <c r="P43" s="22" t="str">
        <f>IF(O43="","",SUMPRODUCT(--(O43&gt;=المساطر!$D$48:$D$57)))</f>
        <v/>
      </c>
      <c r="Q43" s="12"/>
      <c r="R43" s="12"/>
      <c r="S43" s="23" t="str">
        <f t="shared" si="3"/>
        <v/>
      </c>
      <c r="T43" s="22" t="str">
        <f>IF(S43="","",SUMPRODUCT(--(S43&lt;=المساطر!$E$48:$E$57)))</f>
        <v/>
      </c>
      <c r="U43" s="12"/>
      <c r="V43" s="12"/>
      <c r="W43" s="23" t="str">
        <f t="shared" si="4"/>
        <v/>
      </c>
      <c r="X43" s="22" t="str">
        <f>IF(W43="","",SUMPRODUCT(--(W43&lt;=المساطر!$F$48:$F$57)))</f>
        <v/>
      </c>
      <c r="Y43" s="22" t="str">
        <f t="shared" si="5"/>
        <v/>
      </c>
      <c r="Z43" s="21" t="str">
        <f t="shared" si="6"/>
        <v/>
      </c>
      <c r="AA43" s="4" t="str">
        <f t="shared" si="7"/>
        <v/>
      </c>
      <c r="AB43" s="21" t="str">
        <f t="shared" si="8"/>
        <v/>
      </c>
      <c r="AC43" s="22" t="str">
        <f t="shared" si="9"/>
        <v/>
      </c>
    </row>
    <row r="44" spans="1:30">
      <c r="A44" s="19">
        <v>39</v>
      </c>
      <c r="B44" s="5"/>
      <c r="C44" s="5"/>
      <c r="D44" s="5"/>
      <c r="E44" s="20"/>
      <c r="F44" s="20"/>
      <c r="G44" s="21" t="str">
        <f t="shared" si="0"/>
        <v/>
      </c>
      <c r="H44" s="22" t="str">
        <f>IF(G44="","",SUMPRODUCT(--(G44&gt;=المساطر!$B$48:$B$57)))</f>
        <v/>
      </c>
      <c r="I44" s="20"/>
      <c r="J44" s="20"/>
      <c r="K44" s="21" t="str">
        <f t="shared" si="1"/>
        <v/>
      </c>
      <c r="L44" s="22" t="str">
        <f>IF(K44="","",SUMPRODUCT(--(K44&gt;=المساطر!$C$48:$C$57)))</f>
        <v/>
      </c>
      <c r="M44" s="20"/>
      <c r="N44" s="20"/>
      <c r="O44" s="21" t="str">
        <f t="shared" si="2"/>
        <v/>
      </c>
      <c r="P44" s="22" t="str">
        <f>IF(O44="","",SUMPRODUCT(--(O44&gt;=المساطر!$D$48:$D$57)))</f>
        <v/>
      </c>
      <c r="Q44" s="12"/>
      <c r="R44" s="12"/>
      <c r="S44" s="23" t="str">
        <f t="shared" si="3"/>
        <v/>
      </c>
      <c r="T44" s="22" t="str">
        <f>IF(S44="","",SUMPRODUCT(--(S44&lt;=المساطر!$E$48:$E$57)))</f>
        <v/>
      </c>
      <c r="U44" s="12"/>
      <c r="V44" s="12"/>
      <c r="W44" s="23" t="str">
        <f t="shared" si="4"/>
        <v/>
      </c>
      <c r="X44" s="22" t="str">
        <f>IF(W44="","",SUMPRODUCT(--(W44&lt;=المساطر!$F$48:$F$57)))</f>
        <v/>
      </c>
      <c r="Y44" s="22" t="str">
        <f t="shared" si="5"/>
        <v/>
      </c>
      <c r="Z44" s="21" t="str">
        <f t="shared" si="6"/>
        <v/>
      </c>
      <c r="AA44" s="4" t="str">
        <f t="shared" si="7"/>
        <v/>
      </c>
      <c r="AB44" s="21" t="str">
        <f t="shared" si="8"/>
        <v/>
      </c>
      <c r="AC44" s="22" t="str">
        <f t="shared" si="9"/>
        <v/>
      </c>
    </row>
    <row r="45" spans="1:30">
      <c r="A45" s="19">
        <v>40</v>
      </c>
      <c r="B45" s="5"/>
      <c r="C45" s="5"/>
      <c r="D45" s="5"/>
      <c r="E45" s="20"/>
      <c r="F45" s="20"/>
      <c r="G45" s="21" t="str">
        <f t="shared" si="0"/>
        <v/>
      </c>
      <c r="H45" s="22" t="str">
        <f>IF(G45="","",SUMPRODUCT(--(G45&gt;=المساطر!$B$48:$B$57)))</f>
        <v/>
      </c>
      <c r="I45" s="20"/>
      <c r="J45" s="20"/>
      <c r="K45" s="21" t="str">
        <f t="shared" si="1"/>
        <v/>
      </c>
      <c r="L45" s="22" t="str">
        <f>IF(K45="","",SUMPRODUCT(--(K45&gt;=المساطر!$C$48:$C$57)))</f>
        <v/>
      </c>
      <c r="M45" s="20"/>
      <c r="N45" s="20"/>
      <c r="O45" s="21" t="str">
        <f t="shared" si="2"/>
        <v/>
      </c>
      <c r="P45" s="22" t="str">
        <f>IF(O45="","",SUMPRODUCT(--(O45&gt;=المساطر!$D$48:$D$57)))</f>
        <v/>
      </c>
      <c r="Q45" s="12"/>
      <c r="R45" s="12"/>
      <c r="S45" s="23" t="str">
        <f t="shared" si="3"/>
        <v/>
      </c>
      <c r="T45" s="22" t="str">
        <f>IF(S45="","",SUMPRODUCT(--(S45&lt;=المساطر!$E$48:$E$57)))</f>
        <v/>
      </c>
      <c r="U45" s="12"/>
      <c r="V45" s="12"/>
      <c r="W45" s="23" t="str">
        <f t="shared" si="4"/>
        <v/>
      </c>
      <c r="X45" s="22" t="str">
        <f>IF(W45="","",SUMPRODUCT(--(W45&lt;=المساطر!$F$48:$F$57)))</f>
        <v/>
      </c>
      <c r="Y45" s="22" t="str">
        <f t="shared" si="5"/>
        <v/>
      </c>
      <c r="Z45" s="21" t="str">
        <f t="shared" si="6"/>
        <v/>
      </c>
      <c r="AA45" s="4" t="str">
        <f t="shared" si="7"/>
        <v/>
      </c>
      <c r="AB45" s="21" t="str">
        <f t="shared" si="8"/>
        <v/>
      </c>
      <c r="AC45" s="22" t="str">
        <f t="shared" si="9"/>
        <v/>
      </c>
    </row>
    <row r="47" spans="1:30" ht="48" customHeight="1">
      <c r="A47" s="42" t="s">
        <v>125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</row>
  </sheetData>
  <mergeCells count="17">
    <mergeCell ref="AC3:AC4"/>
    <mergeCell ref="A47:AD47"/>
    <mergeCell ref="A1:AD1"/>
    <mergeCell ref="A2:AD2"/>
    <mergeCell ref="A3:A4"/>
    <mergeCell ref="B3:B4"/>
    <mergeCell ref="C3:C4"/>
    <mergeCell ref="D3:D4"/>
    <mergeCell ref="E3:H3"/>
    <mergeCell ref="I3:L3"/>
    <mergeCell ref="M3:P3"/>
    <mergeCell ref="Q3:T3"/>
    <mergeCell ref="U3:X3"/>
    <mergeCell ref="Y3:Y4"/>
    <mergeCell ref="Z3:Z4"/>
    <mergeCell ref="AA3:AA4"/>
    <mergeCell ref="AB3:AB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3D"/>
    <pageSetUpPr fitToPage="1"/>
  </sheetPr>
  <dimension ref="A1:AE47"/>
  <sheetViews>
    <sheetView rightToLeft="1" zoomScale="90" zoomScaleNormal="90" workbookViewId="0">
      <pane xSplit="2" ySplit="4" topLeftCell="O5" activePane="bottomRight" state="frozen"/>
      <selection pane="topRight" activeCell="C1" sqref="C1"/>
      <selection pane="bottomLeft" activeCell="A5" sqref="A5"/>
      <selection pane="bottomRight" activeCell="V5" sqref="V5"/>
    </sheetView>
  </sheetViews>
  <sheetFormatPr defaultColWidth="8.6640625" defaultRowHeight="14.4"/>
  <cols>
    <col min="1" max="1" width="7" customWidth="1"/>
    <col min="2" max="2" width="28" customWidth="1"/>
    <col min="3" max="3" width="14" customWidth="1"/>
    <col min="4" max="4" width="9" customWidth="1"/>
    <col min="5" max="25" width="10" customWidth="1"/>
    <col min="26" max="30" width="15" customWidth="1"/>
  </cols>
  <sheetData>
    <row r="1" spans="1:31" ht="30" customHeight="1">
      <c r="A1" s="35" t="s">
        <v>133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ht="15" customHeight="1">
      <c r="A2" s="36" t="s">
        <v>57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</row>
    <row r="3" spans="1:31" ht="43.5" customHeight="1">
      <c r="A3" s="43" t="s">
        <v>2</v>
      </c>
      <c r="B3" s="43" t="s">
        <v>103</v>
      </c>
      <c r="C3" s="43" t="s">
        <v>104</v>
      </c>
      <c r="D3" s="43" t="s">
        <v>105</v>
      </c>
      <c r="E3" s="43" t="s">
        <v>106</v>
      </c>
      <c r="F3" s="43"/>
      <c r="G3" s="43"/>
      <c r="H3" s="43"/>
      <c r="I3" s="43" t="s">
        <v>107</v>
      </c>
      <c r="J3" s="43"/>
      <c r="K3" s="43"/>
      <c r="L3" s="43"/>
      <c r="M3" s="43" t="s">
        <v>131</v>
      </c>
      <c r="N3" s="43"/>
      <c r="O3" s="43"/>
      <c r="P3" s="43"/>
      <c r="Q3" s="43" t="s">
        <v>126</v>
      </c>
      <c r="R3" s="43"/>
      <c r="S3" s="43"/>
      <c r="T3" s="43"/>
      <c r="U3" s="43"/>
      <c r="V3" s="43" t="s">
        <v>127</v>
      </c>
      <c r="W3" s="43"/>
      <c r="X3" s="43"/>
      <c r="Y3" s="43"/>
      <c r="Z3" s="43" t="s">
        <v>110</v>
      </c>
      <c r="AA3" s="43" t="s">
        <v>111</v>
      </c>
      <c r="AB3" s="43" t="s">
        <v>112</v>
      </c>
      <c r="AC3" s="43" t="s">
        <v>113</v>
      </c>
      <c r="AD3" s="43" t="s">
        <v>114</v>
      </c>
    </row>
    <row r="4" spans="1:31" ht="24" customHeight="1">
      <c r="A4" s="43"/>
      <c r="B4" s="43"/>
      <c r="C4" s="43"/>
      <c r="D4" s="43"/>
      <c r="E4" s="2" t="s">
        <v>115</v>
      </c>
      <c r="F4" s="2" t="s">
        <v>116</v>
      </c>
      <c r="G4" s="2" t="s">
        <v>117</v>
      </c>
      <c r="H4" s="2" t="s">
        <v>83</v>
      </c>
      <c r="I4" s="2" t="s">
        <v>115</v>
      </c>
      <c r="J4" s="2" t="s">
        <v>116</v>
      </c>
      <c r="K4" s="2" t="s">
        <v>117</v>
      </c>
      <c r="L4" s="2" t="s">
        <v>83</v>
      </c>
      <c r="M4" s="2" t="s">
        <v>115</v>
      </c>
      <c r="N4" s="2" t="s">
        <v>116</v>
      </c>
      <c r="O4" s="2" t="s">
        <v>117</v>
      </c>
      <c r="P4" s="2" t="s">
        <v>83</v>
      </c>
      <c r="Q4" s="2" t="s">
        <v>118</v>
      </c>
      <c r="R4" s="2" t="s">
        <v>119</v>
      </c>
      <c r="S4" s="2" t="s">
        <v>134</v>
      </c>
      <c r="T4" s="2" t="s">
        <v>120</v>
      </c>
      <c r="U4" s="2" t="s">
        <v>83</v>
      </c>
      <c r="V4" s="2" t="s">
        <v>118</v>
      </c>
      <c r="W4" s="2" t="s">
        <v>119</v>
      </c>
      <c r="X4" s="2" t="s">
        <v>120</v>
      </c>
      <c r="Y4" s="2" t="s">
        <v>83</v>
      </c>
      <c r="Z4" s="43"/>
      <c r="AA4" s="43"/>
      <c r="AB4" s="43"/>
      <c r="AC4" s="43"/>
      <c r="AD4" s="43"/>
    </row>
    <row r="5" spans="1:31">
      <c r="A5" s="7" t="s">
        <v>121</v>
      </c>
      <c r="B5" s="7" t="s">
        <v>122</v>
      </c>
      <c r="C5" s="7" t="s">
        <v>123</v>
      </c>
      <c r="D5" s="7" t="s">
        <v>124</v>
      </c>
      <c r="E5" s="13">
        <v>22</v>
      </c>
      <c r="F5" s="13">
        <v>22</v>
      </c>
      <c r="G5" s="14">
        <f t="shared" ref="G5:G45" si="0">IF(COUNT(E5:F5)=0,"",AVERAGE(E5:F5))</f>
        <v>22</v>
      </c>
      <c r="H5" s="15">
        <f>IF(G5="","",SUMPRODUCT(--(G5&gt;=المساطر!$B$62:$B$71)))</f>
        <v>6</v>
      </c>
      <c r="I5" s="13">
        <v>20</v>
      </c>
      <c r="J5" s="13">
        <v>21</v>
      </c>
      <c r="K5" s="14">
        <f t="shared" ref="K5:K45" si="1">IF(COUNT(I5:J5)=0,"",AVERAGE(I5:J5))</f>
        <v>20.5</v>
      </c>
      <c r="L5" s="15">
        <f>IF(K5="","",SUMPRODUCT(--(K5&gt;=المساطر!$C$62:$C$71)))</f>
        <v>5</v>
      </c>
      <c r="M5" s="13">
        <v>30</v>
      </c>
      <c r="N5" s="13">
        <v>31</v>
      </c>
      <c r="O5" s="14">
        <f t="shared" ref="O5:O45" si="2">IF(COUNT(M5:N5)=0,"",AVERAGE(M5:N5))</f>
        <v>30.5</v>
      </c>
      <c r="P5" s="15">
        <f>IF(O5="","",SUMPRODUCT(--(O5&gt;=المساطر!$D$62:$D$71)))</f>
        <v>5</v>
      </c>
      <c r="Q5" s="13">
        <v>150</v>
      </c>
      <c r="R5" s="13">
        <v>155</v>
      </c>
      <c r="S5" s="13">
        <v>148</v>
      </c>
      <c r="T5" s="14">
        <f t="shared" ref="T5:T45" si="3">IF(COUNT(Q5:S5)=0,"",MAX(Q5:S5))</f>
        <v>155</v>
      </c>
      <c r="U5" s="15">
        <f>IF(T5="","",SUMPRODUCT(--(T5&gt;=المساطر!$E$62:$E$71)))</f>
        <v>6</v>
      </c>
      <c r="V5" s="16">
        <v>13.2</v>
      </c>
      <c r="W5" s="16">
        <v>13</v>
      </c>
      <c r="X5" s="17">
        <f t="shared" ref="X5:X45" si="4">IF(COUNT(V5:W5)=0,"",MIN(V5:W5))</f>
        <v>13</v>
      </c>
      <c r="Y5" s="15">
        <f>IF(X5="","",SUMPRODUCT(--(X5&lt;=المساطر!$F$62:$F$71)))</f>
        <v>5</v>
      </c>
      <c r="Z5" s="15">
        <f t="shared" ref="Z5:Z45" si="5">IF(COUNT(H5,L5,P5,U5,Y5)=5,SUM(H5,L5,P5,U5,Y5),"")</f>
        <v>27</v>
      </c>
      <c r="AA5" s="14">
        <f t="shared" ref="AA5:AA45" si="6">IF(Z5="","",Z5/5)</f>
        <v>5.4</v>
      </c>
      <c r="AB5" s="18" t="str">
        <f t="shared" ref="AB5:AB45" si="7">IF(AA5="","",IF(ROUND(AA5,0)&gt;=9,"ممتاز",IF(ROUND(AA5,0)&gt;=7,"جيد جدا",IF(ROUND(AA5,0)&gt;=5,"جيد",IF(ROUND(AA5,0)&gt;=3,"مقبول","ضعيف")))))</f>
        <v>جيد</v>
      </c>
      <c r="AC5" s="14">
        <f t="shared" ref="AC5:AC45" si="8">IF(COUNT(G5,K5,O5)=3,SUM(G5,K5,O5),"")</f>
        <v>73</v>
      </c>
      <c r="AD5" s="15">
        <f t="shared" ref="AD5:AD45" si="9">IF(Z5="","",1+COUNTIF($Z$6:$Z$45,"&gt;"&amp;Z5)+COUNTIFS($Z$6:$Z$45,Z5,$AC$6:$AC$45,"&gt;"&amp;AC5))</f>
        <v>1</v>
      </c>
    </row>
    <row r="6" spans="1:31">
      <c r="A6" s="19">
        <v>1</v>
      </c>
      <c r="B6" s="5"/>
      <c r="C6" s="5"/>
      <c r="D6" s="5"/>
      <c r="E6" s="20"/>
      <c r="F6" s="20"/>
      <c r="G6" s="21" t="str">
        <f t="shared" si="0"/>
        <v/>
      </c>
      <c r="H6" s="22" t="str">
        <f>IF(G6="","",SUMPRODUCT(--(G6&gt;=المساطر!$B$62:$B$71)))</f>
        <v/>
      </c>
      <c r="I6" s="20"/>
      <c r="J6" s="20"/>
      <c r="K6" s="21" t="str">
        <f t="shared" si="1"/>
        <v/>
      </c>
      <c r="L6" s="22" t="str">
        <f>IF(K6="","",SUMPRODUCT(--(K6&gt;=المساطر!$C$62:$C$71)))</f>
        <v/>
      </c>
      <c r="M6" s="20"/>
      <c r="N6" s="20"/>
      <c r="O6" s="21" t="str">
        <f t="shared" si="2"/>
        <v/>
      </c>
      <c r="P6" s="22" t="str">
        <f>IF(O6="","",SUMPRODUCT(--(O6&gt;=المساطر!$D$62:$D$71)))</f>
        <v/>
      </c>
      <c r="Q6" s="20"/>
      <c r="R6" s="20"/>
      <c r="S6" s="20"/>
      <c r="T6" s="21" t="str">
        <f t="shared" si="3"/>
        <v/>
      </c>
      <c r="U6" s="22" t="str">
        <f>IF(T6="","",SUMPRODUCT(--(T6&gt;=المساطر!$E$62:$E$71)))</f>
        <v/>
      </c>
      <c r="V6" s="12"/>
      <c r="W6" s="12"/>
      <c r="X6" s="23" t="str">
        <f t="shared" si="4"/>
        <v/>
      </c>
      <c r="Y6" s="22" t="str">
        <f>IF(X6="","",SUMPRODUCT(--(X6&lt;=المساطر!$F$62:$F$71)))</f>
        <v/>
      </c>
      <c r="Z6" s="22" t="str">
        <f t="shared" si="5"/>
        <v/>
      </c>
      <c r="AA6" s="21" t="str">
        <f t="shared" si="6"/>
        <v/>
      </c>
      <c r="AB6" s="4" t="str">
        <f t="shared" si="7"/>
        <v/>
      </c>
      <c r="AC6" s="21" t="str">
        <f t="shared" si="8"/>
        <v/>
      </c>
      <c r="AD6" s="22" t="str">
        <f t="shared" si="9"/>
        <v/>
      </c>
    </row>
    <row r="7" spans="1:31">
      <c r="A7" s="19">
        <v>2</v>
      </c>
      <c r="B7" s="5"/>
      <c r="C7" s="5"/>
      <c r="D7" s="5"/>
      <c r="E7" s="20"/>
      <c r="F7" s="20"/>
      <c r="G7" s="21" t="str">
        <f t="shared" si="0"/>
        <v/>
      </c>
      <c r="H7" s="22" t="str">
        <f>IF(G7="","",SUMPRODUCT(--(G7&gt;=المساطر!$B$62:$B$71)))</f>
        <v/>
      </c>
      <c r="I7" s="20"/>
      <c r="J7" s="20"/>
      <c r="K7" s="21" t="str">
        <f t="shared" si="1"/>
        <v/>
      </c>
      <c r="L7" s="22" t="str">
        <f>IF(K7="","",SUMPRODUCT(--(K7&gt;=المساطر!$C$62:$C$71)))</f>
        <v/>
      </c>
      <c r="M7" s="20"/>
      <c r="N7" s="20"/>
      <c r="O7" s="21" t="str">
        <f t="shared" si="2"/>
        <v/>
      </c>
      <c r="P7" s="22" t="str">
        <f>IF(O7="","",SUMPRODUCT(--(O7&gt;=المساطر!$D$62:$D$71)))</f>
        <v/>
      </c>
      <c r="Q7" s="20"/>
      <c r="R7" s="20"/>
      <c r="S7" s="20"/>
      <c r="T7" s="21" t="str">
        <f t="shared" si="3"/>
        <v/>
      </c>
      <c r="U7" s="22" t="str">
        <f>IF(T7="","",SUMPRODUCT(--(T7&gt;=المساطر!$E$62:$E$71)))</f>
        <v/>
      </c>
      <c r="V7" s="12"/>
      <c r="W7" s="12"/>
      <c r="X7" s="23" t="str">
        <f t="shared" si="4"/>
        <v/>
      </c>
      <c r="Y7" s="22" t="str">
        <f>IF(X7="","",SUMPRODUCT(--(X7&lt;=المساطر!$F$62:$F$71)))</f>
        <v/>
      </c>
      <c r="Z7" s="22" t="str">
        <f t="shared" si="5"/>
        <v/>
      </c>
      <c r="AA7" s="21" t="str">
        <f t="shared" si="6"/>
        <v/>
      </c>
      <c r="AB7" s="4" t="str">
        <f t="shared" si="7"/>
        <v/>
      </c>
      <c r="AC7" s="21" t="str">
        <f t="shared" si="8"/>
        <v/>
      </c>
      <c r="AD7" s="22" t="str">
        <f t="shared" si="9"/>
        <v/>
      </c>
    </row>
    <row r="8" spans="1:31">
      <c r="A8" s="19">
        <v>3</v>
      </c>
      <c r="B8" s="5"/>
      <c r="C8" s="5"/>
      <c r="D8" s="5"/>
      <c r="E8" s="20"/>
      <c r="F8" s="20"/>
      <c r="G8" s="21" t="str">
        <f t="shared" si="0"/>
        <v/>
      </c>
      <c r="H8" s="22" t="str">
        <f>IF(G8="","",SUMPRODUCT(--(G8&gt;=المساطر!$B$62:$B$71)))</f>
        <v/>
      </c>
      <c r="I8" s="20"/>
      <c r="J8" s="20"/>
      <c r="K8" s="21" t="str">
        <f t="shared" si="1"/>
        <v/>
      </c>
      <c r="L8" s="22" t="str">
        <f>IF(K8="","",SUMPRODUCT(--(K8&gt;=المساطر!$C$62:$C$71)))</f>
        <v/>
      </c>
      <c r="M8" s="20"/>
      <c r="N8" s="20"/>
      <c r="O8" s="21" t="str">
        <f t="shared" si="2"/>
        <v/>
      </c>
      <c r="P8" s="22" t="str">
        <f>IF(O8="","",SUMPRODUCT(--(O8&gt;=المساطر!$D$62:$D$71)))</f>
        <v/>
      </c>
      <c r="Q8" s="20"/>
      <c r="R8" s="20"/>
      <c r="S8" s="20"/>
      <c r="T8" s="21" t="str">
        <f t="shared" si="3"/>
        <v/>
      </c>
      <c r="U8" s="22" t="str">
        <f>IF(T8="","",SUMPRODUCT(--(T8&gt;=المساطر!$E$62:$E$71)))</f>
        <v/>
      </c>
      <c r="V8" s="12"/>
      <c r="W8" s="12"/>
      <c r="X8" s="23" t="str">
        <f t="shared" si="4"/>
        <v/>
      </c>
      <c r="Y8" s="22" t="str">
        <f>IF(X8="","",SUMPRODUCT(--(X8&lt;=المساطر!$F$62:$F$71)))</f>
        <v/>
      </c>
      <c r="Z8" s="22" t="str">
        <f t="shared" si="5"/>
        <v/>
      </c>
      <c r="AA8" s="21" t="str">
        <f t="shared" si="6"/>
        <v/>
      </c>
      <c r="AB8" s="4" t="str">
        <f t="shared" si="7"/>
        <v/>
      </c>
      <c r="AC8" s="21" t="str">
        <f t="shared" si="8"/>
        <v/>
      </c>
      <c r="AD8" s="22" t="str">
        <f t="shared" si="9"/>
        <v/>
      </c>
    </row>
    <row r="9" spans="1:31">
      <c r="A9" s="19">
        <v>4</v>
      </c>
      <c r="B9" s="5"/>
      <c r="C9" s="5"/>
      <c r="D9" s="5"/>
      <c r="E9" s="20"/>
      <c r="F9" s="20"/>
      <c r="G9" s="21" t="str">
        <f t="shared" si="0"/>
        <v/>
      </c>
      <c r="H9" s="22" t="str">
        <f>IF(G9="","",SUMPRODUCT(--(G9&gt;=المساطر!$B$62:$B$71)))</f>
        <v/>
      </c>
      <c r="I9" s="20"/>
      <c r="J9" s="20"/>
      <c r="K9" s="21" t="str">
        <f t="shared" si="1"/>
        <v/>
      </c>
      <c r="L9" s="22" t="str">
        <f>IF(K9="","",SUMPRODUCT(--(K9&gt;=المساطر!$C$62:$C$71)))</f>
        <v/>
      </c>
      <c r="M9" s="20"/>
      <c r="N9" s="20"/>
      <c r="O9" s="21" t="str">
        <f t="shared" si="2"/>
        <v/>
      </c>
      <c r="P9" s="22" t="str">
        <f>IF(O9="","",SUMPRODUCT(--(O9&gt;=المساطر!$D$62:$D$71)))</f>
        <v/>
      </c>
      <c r="Q9" s="20"/>
      <c r="R9" s="20"/>
      <c r="S9" s="20"/>
      <c r="T9" s="21" t="str">
        <f t="shared" si="3"/>
        <v/>
      </c>
      <c r="U9" s="22" t="str">
        <f>IF(T9="","",SUMPRODUCT(--(T9&gt;=المساطر!$E$62:$E$71)))</f>
        <v/>
      </c>
      <c r="V9" s="12"/>
      <c r="W9" s="12"/>
      <c r="X9" s="23" t="str">
        <f t="shared" si="4"/>
        <v/>
      </c>
      <c r="Y9" s="22" t="str">
        <f>IF(X9="","",SUMPRODUCT(--(X9&lt;=المساطر!$F$62:$F$71)))</f>
        <v/>
      </c>
      <c r="Z9" s="22" t="str">
        <f t="shared" si="5"/>
        <v/>
      </c>
      <c r="AA9" s="21" t="str">
        <f t="shared" si="6"/>
        <v/>
      </c>
      <c r="AB9" s="4" t="str">
        <f t="shared" si="7"/>
        <v/>
      </c>
      <c r="AC9" s="21" t="str">
        <f t="shared" si="8"/>
        <v/>
      </c>
      <c r="AD9" s="22" t="str">
        <f t="shared" si="9"/>
        <v/>
      </c>
    </row>
    <row r="10" spans="1:31">
      <c r="A10" s="19">
        <v>5</v>
      </c>
      <c r="B10" s="5"/>
      <c r="C10" s="5"/>
      <c r="D10" s="5"/>
      <c r="E10" s="20"/>
      <c r="F10" s="20"/>
      <c r="G10" s="21" t="str">
        <f t="shared" si="0"/>
        <v/>
      </c>
      <c r="H10" s="22" t="str">
        <f>IF(G10="","",SUMPRODUCT(--(G10&gt;=المساطر!$B$62:$B$71)))</f>
        <v/>
      </c>
      <c r="I10" s="20"/>
      <c r="J10" s="20"/>
      <c r="K10" s="21" t="str">
        <f t="shared" si="1"/>
        <v/>
      </c>
      <c r="L10" s="22" t="str">
        <f>IF(K10="","",SUMPRODUCT(--(K10&gt;=المساطر!$C$62:$C$71)))</f>
        <v/>
      </c>
      <c r="M10" s="20"/>
      <c r="N10" s="20"/>
      <c r="O10" s="21" t="str">
        <f t="shared" si="2"/>
        <v/>
      </c>
      <c r="P10" s="22" t="str">
        <f>IF(O10="","",SUMPRODUCT(--(O10&gt;=المساطر!$D$62:$D$71)))</f>
        <v/>
      </c>
      <c r="Q10" s="20"/>
      <c r="R10" s="20"/>
      <c r="S10" s="20"/>
      <c r="T10" s="21" t="str">
        <f t="shared" si="3"/>
        <v/>
      </c>
      <c r="U10" s="22" t="str">
        <f>IF(T10="","",SUMPRODUCT(--(T10&gt;=المساطر!$E$62:$E$71)))</f>
        <v/>
      </c>
      <c r="V10" s="12"/>
      <c r="W10" s="12"/>
      <c r="X10" s="23" t="str">
        <f t="shared" si="4"/>
        <v/>
      </c>
      <c r="Y10" s="22" t="str">
        <f>IF(X10="","",SUMPRODUCT(--(X10&lt;=المساطر!$F$62:$F$71)))</f>
        <v/>
      </c>
      <c r="Z10" s="22" t="str">
        <f t="shared" si="5"/>
        <v/>
      </c>
      <c r="AA10" s="21" t="str">
        <f t="shared" si="6"/>
        <v/>
      </c>
      <c r="AB10" s="4" t="str">
        <f t="shared" si="7"/>
        <v/>
      </c>
      <c r="AC10" s="21" t="str">
        <f t="shared" si="8"/>
        <v/>
      </c>
      <c r="AD10" s="22" t="str">
        <f t="shared" si="9"/>
        <v/>
      </c>
    </row>
    <row r="11" spans="1:31">
      <c r="A11" s="19">
        <v>6</v>
      </c>
      <c r="B11" s="5"/>
      <c r="C11" s="5"/>
      <c r="D11" s="5"/>
      <c r="E11" s="20"/>
      <c r="F11" s="20"/>
      <c r="G11" s="21" t="str">
        <f t="shared" si="0"/>
        <v/>
      </c>
      <c r="H11" s="22" t="str">
        <f>IF(G11="","",SUMPRODUCT(--(G11&gt;=المساطر!$B$62:$B$71)))</f>
        <v/>
      </c>
      <c r="I11" s="20"/>
      <c r="J11" s="20"/>
      <c r="K11" s="21" t="str">
        <f t="shared" si="1"/>
        <v/>
      </c>
      <c r="L11" s="22" t="str">
        <f>IF(K11="","",SUMPRODUCT(--(K11&gt;=المساطر!$C$62:$C$71)))</f>
        <v/>
      </c>
      <c r="M11" s="20"/>
      <c r="N11" s="20"/>
      <c r="O11" s="21" t="str">
        <f t="shared" si="2"/>
        <v/>
      </c>
      <c r="P11" s="22" t="str">
        <f>IF(O11="","",SUMPRODUCT(--(O11&gt;=المساطر!$D$62:$D$71)))</f>
        <v/>
      </c>
      <c r="Q11" s="20"/>
      <c r="R11" s="20"/>
      <c r="S11" s="20"/>
      <c r="T11" s="21" t="str">
        <f t="shared" si="3"/>
        <v/>
      </c>
      <c r="U11" s="22" t="str">
        <f>IF(T11="","",SUMPRODUCT(--(T11&gt;=المساطر!$E$62:$E$71)))</f>
        <v/>
      </c>
      <c r="V11" s="12"/>
      <c r="W11" s="12"/>
      <c r="X11" s="23" t="str">
        <f t="shared" si="4"/>
        <v/>
      </c>
      <c r="Y11" s="22" t="str">
        <f>IF(X11="","",SUMPRODUCT(--(X11&lt;=المساطر!$F$62:$F$71)))</f>
        <v/>
      </c>
      <c r="Z11" s="22" t="str">
        <f t="shared" si="5"/>
        <v/>
      </c>
      <c r="AA11" s="21" t="str">
        <f t="shared" si="6"/>
        <v/>
      </c>
      <c r="AB11" s="4" t="str">
        <f t="shared" si="7"/>
        <v/>
      </c>
      <c r="AC11" s="21" t="str">
        <f t="shared" si="8"/>
        <v/>
      </c>
      <c r="AD11" s="22" t="str">
        <f t="shared" si="9"/>
        <v/>
      </c>
    </row>
    <row r="12" spans="1:31">
      <c r="A12" s="19">
        <v>7</v>
      </c>
      <c r="B12" s="5"/>
      <c r="C12" s="5"/>
      <c r="D12" s="5"/>
      <c r="E12" s="20"/>
      <c r="F12" s="20"/>
      <c r="G12" s="21" t="str">
        <f t="shared" si="0"/>
        <v/>
      </c>
      <c r="H12" s="22" t="str">
        <f>IF(G12="","",SUMPRODUCT(--(G12&gt;=المساطر!$B$62:$B$71)))</f>
        <v/>
      </c>
      <c r="I12" s="20"/>
      <c r="J12" s="20"/>
      <c r="K12" s="21" t="str">
        <f t="shared" si="1"/>
        <v/>
      </c>
      <c r="L12" s="22" t="str">
        <f>IF(K12="","",SUMPRODUCT(--(K12&gt;=المساطر!$C$62:$C$71)))</f>
        <v/>
      </c>
      <c r="M12" s="20"/>
      <c r="N12" s="20"/>
      <c r="O12" s="21" t="str">
        <f t="shared" si="2"/>
        <v/>
      </c>
      <c r="P12" s="22" t="str">
        <f>IF(O12="","",SUMPRODUCT(--(O12&gt;=المساطر!$D$62:$D$71)))</f>
        <v/>
      </c>
      <c r="Q12" s="20"/>
      <c r="R12" s="20"/>
      <c r="S12" s="20"/>
      <c r="T12" s="21" t="str">
        <f t="shared" si="3"/>
        <v/>
      </c>
      <c r="U12" s="22" t="str">
        <f>IF(T12="","",SUMPRODUCT(--(T12&gt;=المساطر!$E$62:$E$71)))</f>
        <v/>
      </c>
      <c r="V12" s="12"/>
      <c r="W12" s="12"/>
      <c r="X12" s="23" t="str">
        <f t="shared" si="4"/>
        <v/>
      </c>
      <c r="Y12" s="22" t="str">
        <f>IF(X12="","",SUMPRODUCT(--(X12&lt;=المساطر!$F$62:$F$71)))</f>
        <v/>
      </c>
      <c r="Z12" s="22" t="str">
        <f t="shared" si="5"/>
        <v/>
      </c>
      <c r="AA12" s="21" t="str">
        <f t="shared" si="6"/>
        <v/>
      </c>
      <c r="AB12" s="4" t="str">
        <f t="shared" si="7"/>
        <v/>
      </c>
      <c r="AC12" s="21" t="str">
        <f t="shared" si="8"/>
        <v/>
      </c>
      <c r="AD12" s="22" t="str">
        <f t="shared" si="9"/>
        <v/>
      </c>
    </row>
    <row r="13" spans="1:31">
      <c r="A13" s="19">
        <v>8</v>
      </c>
      <c r="B13" s="5"/>
      <c r="C13" s="5"/>
      <c r="D13" s="5"/>
      <c r="E13" s="20"/>
      <c r="F13" s="20"/>
      <c r="G13" s="21" t="str">
        <f t="shared" si="0"/>
        <v/>
      </c>
      <c r="H13" s="22" t="str">
        <f>IF(G13="","",SUMPRODUCT(--(G13&gt;=المساطر!$B$62:$B$71)))</f>
        <v/>
      </c>
      <c r="I13" s="20"/>
      <c r="J13" s="20"/>
      <c r="K13" s="21" t="str">
        <f t="shared" si="1"/>
        <v/>
      </c>
      <c r="L13" s="22" t="str">
        <f>IF(K13="","",SUMPRODUCT(--(K13&gt;=المساطر!$C$62:$C$71)))</f>
        <v/>
      </c>
      <c r="M13" s="20"/>
      <c r="N13" s="20"/>
      <c r="O13" s="21" t="str">
        <f t="shared" si="2"/>
        <v/>
      </c>
      <c r="P13" s="22" t="str">
        <f>IF(O13="","",SUMPRODUCT(--(O13&gt;=المساطر!$D$62:$D$71)))</f>
        <v/>
      </c>
      <c r="Q13" s="20"/>
      <c r="R13" s="20"/>
      <c r="S13" s="20"/>
      <c r="T13" s="21" t="str">
        <f t="shared" si="3"/>
        <v/>
      </c>
      <c r="U13" s="22" t="str">
        <f>IF(T13="","",SUMPRODUCT(--(T13&gt;=المساطر!$E$62:$E$71)))</f>
        <v/>
      </c>
      <c r="V13" s="12"/>
      <c r="W13" s="12"/>
      <c r="X13" s="23" t="str">
        <f t="shared" si="4"/>
        <v/>
      </c>
      <c r="Y13" s="22" t="str">
        <f>IF(X13="","",SUMPRODUCT(--(X13&lt;=المساطر!$F$62:$F$71)))</f>
        <v/>
      </c>
      <c r="Z13" s="22" t="str">
        <f t="shared" si="5"/>
        <v/>
      </c>
      <c r="AA13" s="21" t="str">
        <f t="shared" si="6"/>
        <v/>
      </c>
      <c r="AB13" s="4" t="str">
        <f t="shared" si="7"/>
        <v/>
      </c>
      <c r="AC13" s="21" t="str">
        <f t="shared" si="8"/>
        <v/>
      </c>
      <c r="AD13" s="22" t="str">
        <f t="shared" si="9"/>
        <v/>
      </c>
    </row>
    <row r="14" spans="1:31">
      <c r="A14" s="19">
        <v>9</v>
      </c>
      <c r="B14" s="5"/>
      <c r="C14" s="5"/>
      <c r="D14" s="5"/>
      <c r="E14" s="20"/>
      <c r="F14" s="20"/>
      <c r="G14" s="21" t="str">
        <f t="shared" si="0"/>
        <v/>
      </c>
      <c r="H14" s="22" t="str">
        <f>IF(G14="","",SUMPRODUCT(--(G14&gt;=المساطر!$B$62:$B$71)))</f>
        <v/>
      </c>
      <c r="I14" s="20"/>
      <c r="J14" s="20"/>
      <c r="K14" s="21" t="str">
        <f t="shared" si="1"/>
        <v/>
      </c>
      <c r="L14" s="22" t="str">
        <f>IF(K14="","",SUMPRODUCT(--(K14&gt;=المساطر!$C$62:$C$71)))</f>
        <v/>
      </c>
      <c r="M14" s="20"/>
      <c r="N14" s="20"/>
      <c r="O14" s="21" t="str">
        <f t="shared" si="2"/>
        <v/>
      </c>
      <c r="P14" s="22" t="str">
        <f>IF(O14="","",SUMPRODUCT(--(O14&gt;=المساطر!$D$62:$D$71)))</f>
        <v/>
      </c>
      <c r="Q14" s="20"/>
      <c r="R14" s="20"/>
      <c r="S14" s="20"/>
      <c r="T14" s="21" t="str">
        <f t="shared" si="3"/>
        <v/>
      </c>
      <c r="U14" s="22" t="str">
        <f>IF(T14="","",SUMPRODUCT(--(T14&gt;=المساطر!$E$62:$E$71)))</f>
        <v/>
      </c>
      <c r="V14" s="12"/>
      <c r="W14" s="12"/>
      <c r="X14" s="23" t="str">
        <f t="shared" si="4"/>
        <v/>
      </c>
      <c r="Y14" s="22" t="str">
        <f>IF(X14="","",SUMPRODUCT(--(X14&lt;=المساطر!$F$62:$F$71)))</f>
        <v/>
      </c>
      <c r="Z14" s="22" t="str">
        <f t="shared" si="5"/>
        <v/>
      </c>
      <c r="AA14" s="21" t="str">
        <f t="shared" si="6"/>
        <v/>
      </c>
      <c r="AB14" s="4" t="str">
        <f t="shared" si="7"/>
        <v/>
      </c>
      <c r="AC14" s="21" t="str">
        <f t="shared" si="8"/>
        <v/>
      </c>
      <c r="AD14" s="22" t="str">
        <f t="shared" si="9"/>
        <v/>
      </c>
    </row>
    <row r="15" spans="1:31">
      <c r="A15" s="19">
        <v>10</v>
      </c>
      <c r="B15" s="5"/>
      <c r="C15" s="5"/>
      <c r="D15" s="5"/>
      <c r="E15" s="20"/>
      <c r="F15" s="20"/>
      <c r="G15" s="21" t="str">
        <f t="shared" si="0"/>
        <v/>
      </c>
      <c r="H15" s="22" t="str">
        <f>IF(G15="","",SUMPRODUCT(--(G15&gt;=المساطر!$B$62:$B$71)))</f>
        <v/>
      </c>
      <c r="I15" s="20"/>
      <c r="J15" s="20"/>
      <c r="K15" s="21" t="str">
        <f t="shared" si="1"/>
        <v/>
      </c>
      <c r="L15" s="22" t="str">
        <f>IF(K15="","",SUMPRODUCT(--(K15&gt;=المساطر!$C$62:$C$71)))</f>
        <v/>
      </c>
      <c r="M15" s="20"/>
      <c r="N15" s="20"/>
      <c r="O15" s="21" t="str">
        <f t="shared" si="2"/>
        <v/>
      </c>
      <c r="P15" s="22" t="str">
        <f>IF(O15="","",SUMPRODUCT(--(O15&gt;=المساطر!$D$62:$D$71)))</f>
        <v/>
      </c>
      <c r="Q15" s="20"/>
      <c r="R15" s="20"/>
      <c r="S15" s="20"/>
      <c r="T15" s="21" t="str">
        <f t="shared" si="3"/>
        <v/>
      </c>
      <c r="U15" s="22" t="str">
        <f>IF(T15="","",SUMPRODUCT(--(T15&gt;=المساطر!$E$62:$E$71)))</f>
        <v/>
      </c>
      <c r="V15" s="12"/>
      <c r="W15" s="12"/>
      <c r="X15" s="23" t="str">
        <f t="shared" si="4"/>
        <v/>
      </c>
      <c r="Y15" s="22" t="str">
        <f>IF(X15="","",SUMPRODUCT(--(X15&lt;=المساطر!$F$62:$F$71)))</f>
        <v/>
      </c>
      <c r="Z15" s="22" t="str">
        <f t="shared" si="5"/>
        <v/>
      </c>
      <c r="AA15" s="21" t="str">
        <f t="shared" si="6"/>
        <v/>
      </c>
      <c r="AB15" s="4" t="str">
        <f t="shared" si="7"/>
        <v/>
      </c>
      <c r="AC15" s="21" t="str">
        <f t="shared" si="8"/>
        <v/>
      </c>
      <c r="AD15" s="22" t="str">
        <f t="shared" si="9"/>
        <v/>
      </c>
    </row>
    <row r="16" spans="1:31">
      <c r="A16" s="19">
        <v>11</v>
      </c>
      <c r="B16" s="5"/>
      <c r="C16" s="5"/>
      <c r="D16" s="5"/>
      <c r="E16" s="20"/>
      <c r="F16" s="20"/>
      <c r="G16" s="21" t="str">
        <f t="shared" si="0"/>
        <v/>
      </c>
      <c r="H16" s="22" t="str">
        <f>IF(G16="","",SUMPRODUCT(--(G16&gt;=المساطر!$B$62:$B$71)))</f>
        <v/>
      </c>
      <c r="I16" s="20"/>
      <c r="J16" s="20"/>
      <c r="K16" s="21" t="str">
        <f t="shared" si="1"/>
        <v/>
      </c>
      <c r="L16" s="22" t="str">
        <f>IF(K16="","",SUMPRODUCT(--(K16&gt;=المساطر!$C$62:$C$71)))</f>
        <v/>
      </c>
      <c r="M16" s="20"/>
      <c r="N16" s="20"/>
      <c r="O16" s="21" t="str">
        <f t="shared" si="2"/>
        <v/>
      </c>
      <c r="P16" s="22" t="str">
        <f>IF(O16="","",SUMPRODUCT(--(O16&gt;=المساطر!$D$62:$D$71)))</f>
        <v/>
      </c>
      <c r="Q16" s="20"/>
      <c r="R16" s="20"/>
      <c r="S16" s="20"/>
      <c r="T16" s="21" t="str">
        <f t="shared" si="3"/>
        <v/>
      </c>
      <c r="U16" s="22" t="str">
        <f>IF(T16="","",SUMPRODUCT(--(T16&gt;=المساطر!$E$62:$E$71)))</f>
        <v/>
      </c>
      <c r="V16" s="12"/>
      <c r="W16" s="12"/>
      <c r="X16" s="23" t="str">
        <f t="shared" si="4"/>
        <v/>
      </c>
      <c r="Y16" s="22" t="str">
        <f>IF(X16="","",SUMPRODUCT(--(X16&lt;=المساطر!$F$62:$F$71)))</f>
        <v/>
      </c>
      <c r="Z16" s="22" t="str">
        <f t="shared" si="5"/>
        <v/>
      </c>
      <c r="AA16" s="21" t="str">
        <f t="shared" si="6"/>
        <v/>
      </c>
      <c r="AB16" s="4" t="str">
        <f t="shared" si="7"/>
        <v/>
      </c>
      <c r="AC16" s="21" t="str">
        <f t="shared" si="8"/>
        <v/>
      </c>
      <c r="AD16" s="22" t="str">
        <f t="shared" si="9"/>
        <v/>
      </c>
    </row>
    <row r="17" spans="1:30">
      <c r="A17" s="19">
        <v>12</v>
      </c>
      <c r="B17" s="5"/>
      <c r="C17" s="5"/>
      <c r="D17" s="5"/>
      <c r="E17" s="20"/>
      <c r="F17" s="20"/>
      <c r="G17" s="21" t="str">
        <f t="shared" si="0"/>
        <v/>
      </c>
      <c r="H17" s="22" t="str">
        <f>IF(G17="","",SUMPRODUCT(--(G17&gt;=المساطر!$B$62:$B$71)))</f>
        <v/>
      </c>
      <c r="I17" s="20"/>
      <c r="J17" s="20"/>
      <c r="K17" s="21" t="str">
        <f t="shared" si="1"/>
        <v/>
      </c>
      <c r="L17" s="22" t="str">
        <f>IF(K17="","",SUMPRODUCT(--(K17&gt;=المساطر!$C$62:$C$71)))</f>
        <v/>
      </c>
      <c r="M17" s="20"/>
      <c r="N17" s="20"/>
      <c r="O17" s="21" t="str">
        <f t="shared" si="2"/>
        <v/>
      </c>
      <c r="P17" s="22" t="str">
        <f>IF(O17="","",SUMPRODUCT(--(O17&gt;=المساطر!$D$62:$D$71)))</f>
        <v/>
      </c>
      <c r="Q17" s="20"/>
      <c r="R17" s="20"/>
      <c r="S17" s="20"/>
      <c r="T17" s="21" t="str">
        <f t="shared" si="3"/>
        <v/>
      </c>
      <c r="U17" s="22" t="str">
        <f>IF(T17="","",SUMPRODUCT(--(T17&gt;=المساطر!$E$62:$E$71)))</f>
        <v/>
      </c>
      <c r="V17" s="12"/>
      <c r="W17" s="12"/>
      <c r="X17" s="23" t="str">
        <f t="shared" si="4"/>
        <v/>
      </c>
      <c r="Y17" s="22" t="str">
        <f>IF(X17="","",SUMPRODUCT(--(X17&lt;=المساطر!$F$62:$F$71)))</f>
        <v/>
      </c>
      <c r="Z17" s="22" t="str">
        <f t="shared" si="5"/>
        <v/>
      </c>
      <c r="AA17" s="21" t="str">
        <f t="shared" si="6"/>
        <v/>
      </c>
      <c r="AB17" s="4" t="str">
        <f t="shared" si="7"/>
        <v/>
      </c>
      <c r="AC17" s="21" t="str">
        <f t="shared" si="8"/>
        <v/>
      </c>
      <c r="AD17" s="22" t="str">
        <f t="shared" si="9"/>
        <v/>
      </c>
    </row>
    <row r="18" spans="1:30">
      <c r="A18" s="19">
        <v>13</v>
      </c>
      <c r="B18" s="5"/>
      <c r="C18" s="5"/>
      <c r="D18" s="5"/>
      <c r="E18" s="20"/>
      <c r="F18" s="20"/>
      <c r="G18" s="21" t="str">
        <f t="shared" si="0"/>
        <v/>
      </c>
      <c r="H18" s="22" t="str">
        <f>IF(G18="","",SUMPRODUCT(--(G18&gt;=المساطر!$B$62:$B$71)))</f>
        <v/>
      </c>
      <c r="I18" s="20"/>
      <c r="J18" s="20"/>
      <c r="K18" s="21" t="str">
        <f t="shared" si="1"/>
        <v/>
      </c>
      <c r="L18" s="22" t="str">
        <f>IF(K18="","",SUMPRODUCT(--(K18&gt;=المساطر!$C$62:$C$71)))</f>
        <v/>
      </c>
      <c r="M18" s="20"/>
      <c r="N18" s="20"/>
      <c r="O18" s="21" t="str">
        <f t="shared" si="2"/>
        <v/>
      </c>
      <c r="P18" s="22" t="str">
        <f>IF(O18="","",SUMPRODUCT(--(O18&gt;=المساطر!$D$62:$D$71)))</f>
        <v/>
      </c>
      <c r="Q18" s="20"/>
      <c r="R18" s="20"/>
      <c r="S18" s="20"/>
      <c r="T18" s="21" t="str">
        <f t="shared" si="3"/>
        <v/>
      </c>
      <c r="U18" s="22" t="str">
        <f>IF(T18="","",SUMPRODUCT(--(T18&gt;=المساطر!$E$62:$E$71)))</f>
        <v/>
      </c>
      <c r="V18" s="12"/>
      <c r="W18" s="12"/>
      <c r="X18" s="23" t="str">
        <f t="shared" si="4"/>
        <v/>
      </c>
      <c r="Y18" s="22" t="str">
        <f>IF(X18="","",SUMPRODUCT(--(X18&lt;=المساطر!$F$62:$F$71)))</f>
        <v/>
      </c>
      <c r="Z18" s="22" t="str">
        <f t="shared" si="5"/>
        <v/>
      </c>
      <c r="AA18" s="21" t="str">
        <f t="shared" si="6"/>
        <v/>
      </c>
      <c r="AB18" s="4" t="str">
        <f t="shared" si="7"/>
        <v/>
      </c>
      <c r="AC18" s="21" t="str">
        <f t="shared" si="8"/>
        <v/>
      </c>
      <c r="AD18" s="22" t="str">
        <f t="shared" si="9"/>
        <v/>
      </c>
    </row>
    <row r="19" spans="1:30">
      <c r="A19" s="19">
        <v>14</v>
      </c>
      <c r="B19" s="5"/>
      <c r="C19" s="5"/>
      <c r="D19" s="5"/>
      <c r="E19" s="20"/>
      <c r="F19" s="20"/>
      <c r="G19" s="21" t="str">
        <f t="shared" si="0"/>
        <v/>
      </c>
      <c r="H19" s="22" t="str">
        <f>IF(G19="","",SUMPRODUCT(--(G19&gt;=المساطر!$B$62:$B$71)))</f>
        <v/>
      </c>
      <c r="I19" s="20"/>
      <c r="J19" s="20"/>
      <c r="K19" s="21" t="str">
        <f t="shared" si="1"/>
        <v/>
      </c>
      <c r="L19" s="22" t="str">
        <f>IF(K19="","",SUMPRODUCT(--(K19&gt;=المساطر!$C$62:$C$71)))</f>
        <v/>
      </c>
      <c r="M19" s="20"/>
      <c r="N19" s="20"/>
      <c r="O19" s="21" t="str">
        <f t="shared" si="2"/>
        <v/>
      </c>
      <c r="P19" s="22" t="str">
        <f>IF(O19="","",SUMPRODUCT(--(O19&gt;=المساطر!$D$62:$D$71)))</f>
        <v/>
      </c>
      <c r="Q19" s="20"/>
      <c r="R19" s="20"/>
      <c r="S19" s="20"/>
      <c r="T19" s="21" t="str">
        <f t="shared" si="3"/>
        <v/>
      </c>
      <c r="U19" s="22" t="str">
        <f>IF(T19="","",SUMPRODUCT(--(T19&gt;=المساطر!$E$62:$E$71)))</f>
        <v/>
      </c>
      <c r="V19" s="12"/>
      <c r="W19" s="12"/>
      <c r="X19" s="23" t="str">
        <f t="shared" si="4"/>
        <v/>
      </c>
      <c r="Y19" s="22" t="str">
        <f>IF(X19="","",SUMPRODUCT(--(X19&lt;=المساطر!$F$62:$F$71)))</f>
        <v/>
      </c>
      <c r="Z19" s="22" t="str">
        <f t="shared" si="5"/>
        <v/>
      </c>
      <c r="AA19" s="21" t="str">
        <f t="shared" si="6"/>
        <v/>
      </c>
      <c r="AB19" s="4" t="str">
        <f t="shared" si="7"/>
        <v/>
      </c>
      <c r="AC19" s="21" t="str">
        <f t="shared" si="8"/>
        <v/>
      </c>
      <c r="AD19" s="22" t="str">
        <f t="shared" si="9"/>
        <v/>
      </c>
    </row>
    <row r="20" spans="1:30">
      <c r="A20" s="19">
        <v>15</v>
      </c>
      <c r="B20" s="5"/>
      <c r="C20" s="5"/>
      <c r="D20" s="5"/>
      <c r="E20" s="20"/>
      <c r="F20" s="20"/>
      <c r="G20" s="21" t="str">
        <f t="shared" si="0"/>
        <v/>
      </c>
      <c r="H20" s="22" t="str">
        <f>IF(G20="","",SUMPRODUCT(--(G20&gt;=المساطر!$B$62:$B$71)))</f>
        <v/>
      </c>
      <c r="I20" s="20"/>
      <c r="J20" s="20"/>
      <c r="K20" s="21" t="str">
        <f t="shared" si="1"/>
        <v/>
      </c>
      <c r="L20" s="22" t="str">
        <f>IF(K20="","",SUMPRODUCT(--(K20&gt;=المساطر!$C$62:$C$71)))</f>
        <v/>
      </c>
      <c r="M20" s="20"/>
      <c r="N20" s="20"/>
      <c r="O20" s="21" t="str">
        <f t="shared" si="2"/>
        <v/>
      </c>
      <c r="P20" s="22" t="str">
        <f>IF(O20="","",SUMPRODUCT(--(O20&gt;=المساطر!$D$62:$D$71)))</f>
        <v/>
      </c>
      <c r="Q20" s="20"/>
      <c r="R20" s="20"/>
      <c r="S20" s="20"/>
      <c r="T20" s="21" t="str">
        <f t="shared" si="3"/>
        <v/>
      </c>
      <c r="U20" s="22" t="str">
        <f>IF(T20="","",SUMPRODUCT(--(T20&gt;=المساطر!$E$62:$E$71)))</f>
        <v/>
      </c>
      <c r="V20" s="12"/>
      <c r="W20" s="12"/>
      <c r="X20" s="23" t="str">
        <f t="shared" si="4"/>
        <v/>
      </c>
      <c r="Y20" s="22" t="str">
        <f>IF(X20="","",SUMPRODUCT(--(X20&lt;=المساطر!$F$62:$F$71)))</f>
        <v/>
      </c>
      <c r="Z20" s="22" t="str">
        <f t="shared" si="5"/>
        <v/>
      </c>
      <c r="AA20" s="21" t="str">
        <f t="shared" si="6"/>
        <v/>
      </c>
      <c r="AB20" s="4" t="str">
        <f t="shared" si="7"/>
        <v/>
      </c>
      <c r="AC20" s="21" t="str">
        <f t="shared" si="8"/>
        <v/>
      </c>
      <c r="AD20" s="22" t="str">
        <f t="shared" si="9"/>
        <v/>
      </c>
    </row>
    <row r="21" spans="1:30">
      <c r="A21" s="19">
        <v>16</v>
      </c>
      <c r="B21" s="5"/>
      <c r="C21" s="5"/>
      <c r="D21" s="5"/>
      <c r="E21" s="20"/>
      <c r="F21" s="20"/>
      <c r="G21" s="21" t="str">
        <f t="shared" si="0"/>
        <v/>
      </c>
      <c r="H21" s="22" t="str">
        <f>IF(G21="","",SUMPRODUCT(--(G21&gt;=المساطر!$B$62:$B$71)))</f>
        <v/>
      </c>
      <c r="I21" s="20"/>
      <c r="J21" s="20"/>
      <c r="K21" s="21" t="str">
        <f t="shared" si="1"/>
        <v/>
      </c>
      <c r="L21" s="22" t="str">
        <f>IF(K21="","",SUMPRODUCT(--(K21&gt;=المساطر!$C$62:$C$71)))</f>
        <v/>
      </c>
      <c r="M21" s="20"/>
      <c r="N21" s="20"/>
      <c r="O21" s="21" t="str">
        <f t="shared" si="2"/>
        <v/>
      </c>
      <c r="P21" s="22" t="str">
        <f>IF(O21="","",SUMPRODUCT(--(O21&gt;=المساطر!$D$62:$D$71)))</f>
        <v/>
      </c>
      <c r="Q21" s="20"/>
      <c r="R21" s="20"/>
      <c r="S21" s="20"/>
      <c r="T21" s="21" t="str">
        <f t="shared" si="3"/>
        <v/>
      </c>
      <c r="U21" s="22" t="str">
        <f>IF(T21="","",SUMPRODUCT(--(T21&gt;=المساطر!$E$62:$E$71)))</f>
        <v/>
      </c>
      <c r="V21" s="12"/>
      <c r="W21" s="12"/>
      <c r="X21" s="23" t="str">
        <f t="shared" si="4"/>
        <v/>
      </c>
      <c r="Y21" s="22" t="str">
        <f>IF(X21="","",SUMPRODUCT(--(X21&lt;=المساطر!$F$62:$F$71)))</f>
        <v/>
      </c>
      <c r="Z21" s="22" t="str">
        <f t="shared" si="5"/>
        <v/>
      </c>
      <c r="AA21" s="21" t="str">
        <f t="shared" si="6"/>
        <v/>
      </c>
      <c r="AB21" s="4" t="str">
        <f t="shared" si="7"/>
        <v/>
      </c>
      <c r="AC21" s="21" t="str">
        <f t="shared" si="8"/>
        <v/>
      </c>
      <c r="AD21" s="22" t="str">
        <f t="shared" si="9"/>
        <v/>
      </c>
    </row>
    <row r="22" spans="1:30">
      <c r="A22" s="19">
        <v>17</v>
      </c>
      <c r="B22" s="5"/>
      <c r="C22" s="5"/>
      <c r="D22" s="5"/>
      <c r="E22" s="20"/>
      <c r="F22" s="20"/>
      <c r="G22" s="21" t="str">
        <f t="shared" si="0"/>
        <v/>
      </c>
      <c r="H22" s="22" t="str">
        <f>IF(G22="","",SUMPRODUCT(--(G22&gt;=المساطر!$B$62:$B$71)))</f>
        <v/>
      </c>
      <c r="I22" s="20"/>
      <c r="J22" s="20"/>
      <c r="K22" s="21" t="str">
        <f t="shared" si="1"/>
        <v/>
      </c>
      <c r="L22" s="22" t="str">
        <f>IF(K22="","",SUMPRODUCT(--(K22&gt;=المساطر!$C$62:$C$71)))</f>
        <v/>
      </c>
      <c r="M22" s="20"/>
      <c r="N22" s="20"/>
      <c r="O22" s="21" t="str">
        <f t="shared" si="2"/>
        <v/>
      </c>
      <c r="P22" s="22" t="str">
        <f>IF(O22="","",SUMPRODUCT(--(O22&gt;=المساطر!$D$62:$D$71)))</f>
        <v/>
      </c>
      <c r="Q22" s="20"/>
      <c r="R22" s="20"/>
      <c r="S22" s="20"/>
      <c r="T22" s="21" t="str">
        <f t="shared" si="3"/>
        <v/>
      </c>
      <c r="U22" s="22" t="str">
        <f>IF(T22="","",SUMPRODUCT(--(T22&gt;=المساطر!$E$62:$E$71)))</f>
        <v/>
      </c>
      <c r="V22" s="12"/>
      <c r="W22" s="12"/>
      <c r="X22" s="23" t="str">
        <f t="shared" si="4"/>
        <v/>
      </c>
      <c r="Y22" s="22" t="str">
        <f>IF(X22="","",SUMPRODUCT(--(X22&lt;=المساطر!$F$62:$F$71)))</f>
        <v/>
      </c>
      <c r="Z22" s="22" t="str">
        <f t="shared" si="5"/>
        <v/>
      </c>
      <c r="AA22" s="21" t="str">
        <f t="shared" si="6"/>
        <v/>
      </c>
      <c r="AB22" s="4" t="str">
        <f t="shared" si="7"/>
        <v/>
      </c>
      <c r="AC22" s="21" t="str">
        <f t="shared" si="8"/>
        <v/>
      </c>
      <c r="AD22" s="22" t="str">
        <f t="shared" si="9"/>
        <v/>
      </c>
    </row>
    <row r="23" spans="1:30">
      <c r="A23" s="19">
        <v>18</v>
      </c>
      <c r="B23" s="5"/>
      <c r="C23" s="5"/>
      <c r="D23" s="5"/>
      <c r="E23" s="20"/>
      <c r="F23" s="20"/>
      <c r="G23" s="21" t="str">
        <f t="shared" si="0"/>
        <v/>
      </c>
      <c r="H23" s="22" t="str">
        <f>IF(G23="","",SUMPRODUCT(--(G23&gt;=المساطر!$B$62:$B$71)))</f>
        <v/>
      </c>
      <c r="I23" s="20"/>
      <c r="J23" s="20"/>
      <c r="K23" s="21" t="str">
        <f t="shared" si="1"/>
        <v/>
      </c>
      <c r="L23" s="22" t="str">
        <f>IF(K23="","",SUMPRODUCT(--(K23&gt;=المساطر!$C$62:$C$71)))</f>
        <v/>
      </c>
      <c r="M23" s="20"/>
      <c r="N23" s="20"/>
      <c r="O23" s="21" t="str">
        <f t="shared" si="2"/>
        <v/>
      </c>
      <c r="P23" s="22" t="str">
        <f>IF(O23="","",SUMPRODUCT(--(O23&gt;=المساطر!$D$62:$D$71)))</f>
        <v/>
      </c>
      <c r="Q23" s="20"/>
      <c r="R23" s="20"/>
      <c r="S23" s="20"/>
      <c r="T23" s="21" t="str">
        <f t="shared" si="3"/>
        <v/>
      </c>
      <c r="U23" s="22" t="str">
        <f>IF(T23="","",SUMPRODUCT(--(T23&gt;=المساطر!$E$62:$E$71)))</f>
        <v/>
      </c>
      <c r="V23" s="12"/>
      <c r="W23" s="12"/>
      <c r="X23" s="23" t="str">
        <f t="shared" si="4"/>
        <v/>
      </c>
      <c r="Y23" s="22" t="str">
        <f>IF(X23="","",SUMPRODUCT(--(X23&lt;=المساطر!$F$62:$F$71)))</f>
        <v/>
      </c>
      <c r="Z23" s="22" t="str">
        <f t="shared" si="5"/>
        <v/>
      </c>
      <c r="AA23" s="21" t="str">
        <f t="shared" si="6"/>
        <v/>
      </c>
      <c r="AB23" s="4" t="str">
        <f t="shared" si="7"/>
        <v/>
      </c>
      <c r="AC23" s="21" t="str">
        <f t="shared" si="8"/>
        <v/>
      </c>
      <c r="AD23" s="22" t="str">
        <f t="shared" si="9"/>
        <v/>
      </c>
    </row>
    <row r="24" spans="1:30">
      <c r="A24" s="19">
        <v>19</v>
      </c>
      <c r="B24" s="5"/>
      <c r="C24" s="5"/>
      <c r="D24" s="5"/>
      <c r="E24" s="20"/>
      <c r="F24" s="20"/>
      <c r="G24" s="21" t="str">
        <f t="shared" si="0"/>
        <v/>
      </c>
      <c r="H24" s="22" t="str">
        <f>IF(G24="","",SUMPRODUCT(--(G24&gt;=المساطر!$B$62:$B$71)))</f>
        <v/>
      </c>
      <c r="I24" s="20"/>
      <c r="J24" s="20"/>
      <c r="K24" s="21" t="str">
        <f t="shared" si="1"/>
        <v/>
      </c>
      <c r="L24" s="22" t="str">
        <f>IF(K24="","",SUMPRODUCT(--(K24&gt;=المساطر!$C$62:$C$71)))</f>
        <v/>
      </c>
      <c r="M24" s="20"/>
      <c r="N24" s="20"/>
      <c r="O24" s="21" t="str">
        <f t="shared" si="2"/>
        <v/>
      </c>
      <c r="P24" s="22" t="str">
        <f>IF(O24="","",SUMPRODUCT(--(O24&gt;=المساطر!$D$62:$D$71)))</f>
        <v/>
      </c>
      <c r="Q24" s="20"/>
      <c r="R24" s="20"/>
      <c r="S24" s="20"/>
      <c r="T24" s="21" t="str">
        <f t="shared" si="3"/>
        <v/>
      </c>
      <c r="U24" s="22" t="str">
        <f>IF(T24="","",SUMPRODUCT(--(T24&gt;=المساطر!$E$62:$E$71)))</f>
        <v/>
      </c>
      <c r="V24" s="12"/>
      <c r="W24" s="12"/>
      <c r="X24" s="23" t="str">
        <f t="shared" si="4"/>
        <v/>
      </c>
      <c r="Y24" s="22" t="str">
        <f>IF(X24="","",SUMPRODUCT(--(X24&lt;=المساطر!$F$62:$F$71)))</f>
        <v/>
      </c>
      <c r="Z24" s="22" t="str">
        <f t="shared" si="5"/>
        <v/>
      </c>
      <c r="AA24" s="21" t="str">
        <f t="shared" si="6"/>
        <v/>
      </c>
      <c r="AB24" s="4" t="str">
        <f t="shared" si="7"/>
        <v/>
      </c>
      <c r="AC24" s="21" t="str">
        <f t="shared" si="8"/>
        <v/>
      </c>
      <c r="AD24" s="22" t="str">
        <f t="shared" si="9"/>
        <v/>
      </c>
    </row>
    <row r="25" spans="1:30">
      <c r="A25" s="19">
        <v>20</v>
      </c>
      <c r="B25" s="5"/>
      <c r="C25" s="5"/>
      <c r="D25" s="5"/>
      <c r="E25" s="20"/>
      <c r="F25" s="20"/>
      <c r="G25" s="21" t="str">
        <f t="shared" si="0"/>
        <v/>
      </c>
      <c r="H25" s="22" t="str">
        <f>IF(G25="","",SUMPRODUCT(--(G25&gt;=المساطر!$B$62:$B$71)))</f>
        <v/>
      </c>
      <c r="I25" s="20"/>
      <c r="J25" s="20"/>
      <c r="K25" s="21" t="str">
        <f t="shared" si="1"/>
        <v/>
      </c>
      <c r="L25" s="22" t="str">
        <f>IF(K25="","",SUMPRODUCT(--(K25&gt;=المساطر!$C$62:$C$71)))</f>
        <v/>
      </c>
      <c r="M25" s="20"/>
      <c r="N25" s="20"/>
      <c r="O25" s="21" t="str">
        <f t="shared" si="2"/>
        <v/>
      </c>
      <c r="P25" s="22" t="str">
        <f>IF(O25="","",SUMPRODUCT(--(O25&gt;=المساطر!$D$62:$D$71)))</f>
        <v/>
      </c>
      <c r="Q25" s="20"/>
      <c r="R25" s="20"/>
      <c r="S25" s="20"/>
      <c r="T25" s="21" t="str">
        <f t="shared" si="3"/>
        <v/>
      </c>
      <c r="U25" s="22" t="str">
        <f>IF(T25="","",SUMPRODUCT(--(T25&gt;=المساطر!$E$62:$E$71)))</f>
        <v/>
      </c>
      <c r="V25" s="12"/>
      <c r="W25" s="12"/>
      <c r="X25" s="23" t="str">
        <f t="shared" si="4"/>
        <v/>
      </c>
      <c r="Y25" s="22" t="str">
        <f>IF(X25="","",SUMPRODUCT(--(X25&lt;=المساطر!$F$62:$F$71)))</f>
        <v/>
      </c>
      <c r="Z25" s="22" t="str">
        <f t="shared" si="5"/>
        <v/>
      </c>
      <c r="AA25" s="21" t="str">
        <f t="shared" si="6"/>
        <v/>
      </c>
      <c r="AB25" s="4" t="str">
        <f t="shared" si="7"/>
        <v/>
      </c>
      <c r="AC25" s="21" t="str">
        <f t="shared" si="8"/>
        <v/>
      </c>
      <c r="AD25" s="22" t="str">
        <f t="shared" si="9"/>
        <v/>
      </c>
    </row>
    <row r="26" spans="1:30">
      <c r="A26" s="19">
        <v>21</v>
      </c>
      <c r="B26" s="5"/>
      <c r="C26" s="5"/>
      <c r="D26" s="5"/>
      <c r="E26" s="20"/>
      <c r="F26" s="20"/>
      <c r="G26" s="21" t="str">
        <f t="shared" si="0"/>
        <v/>
      </c>
      <c r="H26" s="22" t="str">
        <f>IF(G26="","",SUMPRODUCT(--(G26&gt;=المساطر!$B$62:$B$71)))</f>
        <v/>
      </c>
      <c r="I26" s="20"/>
      <c r="J26" s="20"/>
      <c r="K26" s="21" t="str">
        <f t="shared" si="1"/>
        <v/>
      </c>
      <c r="L26" s="22" t="str">
        <f>IF(K26="","",SUMPRODUCT(--(K26&gt;=المساطر!$C$62:$C$71)))</f>
        <v/>
      </c>
      <c r="M26" s="20"/>
      <c r="N26" s="20"/>
      <c r="O26" s="21" t="str">
        <f t="shared" si="2"/>
        <v/>
      </c>
      <c r="P26" s="22" t="str">
        <f>IF(O26="","",SUMPRODUCT(--(O26&gt;=المساطر!$D$62:$D$71)))</f>
        <v/>
      </c>
      <c r="Q26" s="20"/>
      <c r="R26" s="20"/>
      <c r="S26" s="20"/>
      <c r="T26" s="21" t="str">
        <f t="shared" si="3"/>
        <v/>
      </c>
      <c r="U26" s="22" t="str">
        <f>IF(T26="","",SUMPRODUCT(--(T26&gt;=المساطر!$E$62:$E$71)))</f>
        <v/>
      </c>
      <c r="V26" s="12"/>
      <c r="W26" s="12"/>
      <c r="X26" s="23" t="str">
        <f t="shared" si="4"/>
        <v/>
      </c>
      <c r="Y26" s="22" t="str">
        <f>IF(X26="","",SUMPRODUCT(--(X26&lt;=المساطر!$F$62:$F$71)))</f>
        <v/>
      </c>
      <c r="Z26" s="22" t="str">
        <f t="shared" si="5"/>
        <v/>
      </c>
      <c r="AA26" s="21" t="str">
        <f t="shared" si="6"/>
        <v/>
      </c>
      <c r="AB26" s="4" t="str">
        <f t="shared" si="7"/>
        <v/>
      </c>
      <c r="AC26" s="21" t="str">
        <f t="shared" si="8"/>
        <v/>
      </c>
      <c r="AD26" s="22" t="str">
        <f t="shared" si="9"/>
        <v/>
      </c>
    </row>
    <row r="27" spans="1:30">
      <c r="A27" s="19">
        <v>22</v>
      </c>
      <c r="B27" s="5"/>
      <c r="C27" s="5"/>
      <c r="D27" s="5"/>
      <c r="E27" s="20"/>
      <c r="F27" s="20"/>
      <c r="G27" s="21" t="str">
        <f t="shared" si="0"/>
        <v/>
      </c>
      <c r="H27" s="22" t="str">
        <f>IF(G27="","",SUMPRODUCT(--(G27&gt;=المساطر!$B$62:$B$71)))</f>
        <v/>
      </c>
      <c r="I27" s="20"/>
      <c r="J27" s="20"/>
      <c r="K27" s="21" t="str">
        <f t="shared" si="1"/>
        <v/>
      </c>
      <c r="L27" s="22" t="str">
        <f>IF(K27="","",SUMPRODUCT(--(K27&gt;=المساطر!$C$62:$C$71)))</f>
        <v/>
      </c>
      <c r="M27" s="20"/>
      <c r="N27" s="20"/>
      <c r="O27" s="21" t="str">
        <f t="shared" si="2"/>
        <v/>
      </c>
      <c r="P27" s="22" t="str">
        <f>IF(O27="","",SUMPRODUCT(--(O27&gt;=المساطر!$D$62:$D$71)))</f>
        <v/>
      </c>
      <c r="Q27" s="20"/>
      <c r="R27" s="20"/>
      <c r="S27" s="20"/>
      <c r="T27" s="21" t="str">
        <f t="shared" si="3"/>
        <v/>
      </c>
      <c r="U27" s="22" t="str">
        <f>IF(T27="","",SUMPRODUCT(--(T27&gt;=المساطر!$E$62:$E$71)))</f>
        <v/>
      </c>
      <c r="V27" s="12"/>
      <c r="W27" s="12"/>
      <c r="X27" s="23" t="str">
        <f t="shared" si="4"/>
        <v/>
      </c>
      <c r="Y27" s="22" t="str">
        <f>IF(X27="","",SUMPRODUCT(--(X27&lt;=المساطر!$F$62:$F$71)))</f>
        <v/>
      </c>
      <c r="Z27" s="22" t="str">
        <f t="shared" si="5"/>
        <v/>
      </c>
      <c r="AA27" s="21" t="str">
        <f t="shared" si="6"/>
        <v/>
      </c>
      <c r="AB27" s="4" t="str">
        <f t="shared" si="7"/>
        <v/>
      </c>
      <c r="AC27" s="21" t="str">
        <f t="shared" si="8"/>
        <v/>
      </c>
      <c r="AD27" s="22" t="str">
        <f t="shared" si="9"/>
        <v/>
      </c>
    </row>
    <row r="28" spans="1:30">
      <c r="A28" s="19">
        <v>23</v>
      </c>
      <c r="B28" s="5"/>
      <c r="C28" s="5"/>
      <c r="D28" s="5"/>
      <c r="E28" s="20"/>
      <c r="F28" s="20"/>
      <c r="G28" s="21" t="str">
        <f t="shared" si="0"/>
        <v/>
      </c>
      <c r="H28" s="22" t="str">
        <f>IF(G28="","",SUMPRODUCT(--(G28&gt;=المساطر!$B$62:$B$71)))</f>
        <v/>
      </c>
      <c r="I28" s="20"/>
      <c r="J28" s="20"/>
      <c r="K28" s="21" t="str">
        <f t="shared" si="1"/>
        <v/>
      </c>
      <c r="L28" s="22" t="str">
        <f>IF(K28="","",SUMPRODUCT(--(K28&gt;=المساطر!$C$62:$C$71)))</f>
        <v/>
      </c>
      <c r="M28" s="20"/>
      <c r="N28" s="20"/>
      <c r="O28" s="21" t="str">
        <f t="shared" si="2"/>
        <v/>
      </c>
      <c r="P28" s="22" t="str">
        <f>IF(O28="","",SUMPRODUCT(--(O28&gt;=المساطر!$D$62:$D$71)))</f>
        <v/>
      </c>
      <c r="Q28" s="20"/>
      <c r="R28" s="20"/>
      <c r="S28" s="20"/>
      <c r="T28" s="21" t="str">
        <f t="shared" si="3"/>
        <v/>
      </c>
      <c r="U28" s="22" t="str">
        <f>IF(T28="","",SUMPRODUCT(--(T28&gt;=المساطر!$E$62:$E$71)))</f>
        <v/>
      </c>
      <c r="V28" s="12"/>
      <c r="W28" s="12"/>
      <c r="X28" s="23" t="str">
        <f t="shared" si="4"/>
        <v/>
      </c>
      <c r="Y28" s="22" t="str">
        <f>IF(X28="","",SUMPRODUCT(--(X28&lt;=المساطر!$F$62:$F$71)))</f>
        <v/>
      </c>
      <c r="Z28" s="22" t="str">
        <f t="shared" si="5"/>
        <v/>
      </c>
      <c r="AA28" s="21" t="str">
        <f t="shared" si="6"/>
        <v/>
      </c>
      <c r="AB28" s="4" t="str">
        <f t="shared" si="7"/>
        <v/>
      </c>
      <c r="AC28" s="21" t="str">
        <f t="shared" si="8"/>
        <v/>
      </c>
      <c r="AD28" s="22" t="str">
        <f t="shared" si="9"/>
        <v/>
      </c>
    </row>
    <row r="29" spans="1:30">
      <c r="A29" s="19">
        <v>24</v>
      </c>
      <c r="B29" s="5"/>
      <c r="C29" s="5"/>
      <c r="D29" s="5"/>
      <c r="E29" s="20"/>
      <c r="F29" s="20"/>
      <c r="G29" s="21" t="str">
        <f t="shared" si="0"/>
        <v/>
      </c>
      <c r="H29" s="22" t="str">
        <f>IF(G29="","",SUMPRODUCT(--(G29&gt;=المساطر!$B$62:$B$71)))</f>
        <v/>
      </c>
      <c r="I29" s="20"/>
      <c r="J29" s="20"/>
      <c r="K29" s="21" t="str">
        <f t="shared" si="1"/>
        <v/>
      </c>
      <c r="L29" s="22" t="str">
        <f>IF(K29="","",SUMPRODUCT(--(K29&gt;=المساطر!$C$62:$C$71)))</f>
        <v/>
      </c>
      <c r="M29" s="20"/>
      <c r="N29" s="20"/>
      <c r="O29" s="21" t="str">
        <f t="shared" si="2"/>
        <v/>
      </c>
      <c r="P29" s="22" t="str">
        <f>IF(O29="","",SUMPRODUCT(--(O29&gt;=المساطر!$D$62:$D$71)))</f>
        <v/>
      </c>
      <c r="Q29" s="20"/>
      <c r="R29" s="20"/>
      <c r="S29" s="20"/>
      <c r="T29" s="21" t="str">
        <f t="shared" si="3"/>
        <v/>
      </c>
      <c r="U29" s="22" t="str">
        <f>IF(T29="","",SUMPRODUCT(--(T29&gt;=المساطر!$E$62:$E$71)))</f>
        <v/>
      </c>
      <c r="V29" s="12"/>
      <c r="W29" s="12"/>
      <c r="X29" s="23" t="str">
        <f t="shared" si="4"/>
        <v/>
      </c>
      <c r="Y29" s="22" t="str">
        <f>IF(X29="","",SUMPRODUCT(--(X29&lt;=المساطر!$F$62:$F$71)))</f>
        <v/>
      </c>
      <c r="Z29" s="22" t="str">
        <f t="shared" si="5"/>
        <v/>
      </c>
      <c r="AA29" s="21" t="str">
        <f t="shared" si="6"/>
        <v/>
      </c>
      <c r="AB29" s="4" t="str">
        <f t="shared" si="7"/>
        <v/>
      </c>
      <c r="AC29" s="21" t="str">
        <f t="shared" si="8"/>
        <v/>
      </c>
      <c r="AD29" s="22" t="str">
        <f t="shared" si="9"/>
        <v/>
      </c>
    </row>
    <row r="30" spans="1:30">
      <c r="A30" s="19">
        <v>25</v>
      </c>
      <c r="B30" s="5"/>
      <c r="C30" s="5"/>
      <c r="D30" s="5"/>
      <c r="E30" s="20"/>
      <c r="F30" s="20"/>
      <c r="G30" s="21" t="str">
        <f t="shared" si="0"/>
        <v/>
      </c>
      <c r="H30" s="22" t="str">
        <f>IF(G30="","",SUMPRODUCT(--(G30&gt;=المساطر!$B$62:$B$71)))</f>
        <v/>
      </c>
      <c r="I30" s="20"/>
      <c r="J30" s="20"/>
      <c r="K30" s="21" t="str">
        <f t="shared" si="1"/>
        <v/>
      </c>
      <c r="L30" s="22" t="str">
        <f>IF(K30="","",SUMPRODUCT(--(K30&gt;=المساطر!$C$62:$C$71)))</f>
        <v/>
      </c>
      <c r="M30" s="20"/>
      <c r="N30" s="20"/>
      <c r="O30" s="21" t="str">
        <f t="shared" si="2"/>
        <v/>
      </c>
      <c r="P30" s="22" t="str">
        <f>IF(O30="","",SUMPRODUCT(--(O30&gt;=المساطر!$D$62:$D$71)))</f>
        <v/>
      </c>
      <c r="Q30" s="20"/>
      <c r="R30" s="20"/>
      <c r="S30" s="20"/>
      <c r="T30" s="21" t="str">
        <f t="shared" si="3"/>
        <v/>
      </c>
      <c r="U30" s="22" t="str">
        <f>IF(T30="","",SUMPRODUCT(--(T30&gt;=المساطر!$E$62:$E$71)))</f>
        <v/>
      </c>
      <c r="V30" s="12"/>
      <c r="W30" s="12"/>
      <c r="X30" s="23" t="str">
        <f t="shared" si="4"/>
        <v/>
      </c>
      <c r="Y30" s="22" t="str">
        <f>IF(X30="","",SUMPRODUCT(--(X30&lt;=المساطر!$F$62:$F$71)))</f>
        <v/>
      </c>
      <c r="Z30" s="22" t="str">
        <f t="shared" si="5"/>
        <v/>
      </c>
      <c r="AA30" s="21" t="str">
        <f t="shared" si="6"/>
        <v/>
      </c>
      <c r="AB30" s="4" t="str">
        <f t="shared" si="7"/>
        <v/>
      </c>
      <c r="AC30" s="21" t="str">
        <f t="shared" si="8"/>
        <v/>
      </c>
      <c r="AD30" s="22" t="str">
        <f t="shared" si="9"/>
        <v/>
      </c>
    </row>
    <row r="31" spans="1:30">
      <c r="A31" s="19">
        <v>26</v>
      </c>
      <c r="B31" s="5"/>
      <c r="C31" s="5"/>
      <c r="D31" s="5"/>
      <c r="E31" s="20"/>
      <c r="F31" s="20"/>
      <c r="G31" s="21" t="str">
        <f t="shared" si="0"/>
        <v/>
      </c>
      <c r="H31" s="22" t="str">
        <f>IF(G31="","",SUMPRODUCT(--(G31&gt;=المساطر!$B$62:$B$71)))</f>
        <v/>
      </c>
      <c r="I31" s="20"/>
      <c r="J31" s="20"/>
      <c r="K31" s="21" t="str">
        <f t="shared" si="1"/>
        <v/>
      </c>
      <c r="L31" s="22" t="str">
        <f>IF(K31="","",SUMPRODUCT(--(K31&gt;=المساطر!$C$62:$C$71)))</f>
        <v/>
      </c>
      <c r="M31" s="20"/>
      <c r="N31" s="20"/>
      <c r="O31" s="21" t="str">
        <f t="shared" si="2"/>
        <v/>
      </c>
      <c r="P31" s="22" t="str">
        <f>IF(O31="","",SUMPRODUCT(--(O31&gt;=المساطر!$D$62:$D$71)))</f>
        <v/>
      </c>
      <c r="Q31" s="20"/>
      <c r="R31" s="20"/>
      <c r="S31" s="20"/>
      <c r="T31" s="21" t="str">
        <f t="shared" si="3"/>
        <v/>
      </c>
      <c r="U31" s="22" t="str">
        <f>IF(T31="","",SUMPRODUCT(--(T31&gt;=المساطر!$E$62:$E$71)))</f>
        <v/>
      </c>
      <c r="V31" s="12"/>
      <c r="W31" s="12"/>
      <c r="X31" s="23" t="str">
        <f t="shared" si="4"/>
        <v/>
      </c>
      <c r="Y31" s="22" t="str">
        <f>IF(X31="","",SUMPRODUCT(--(X31&lt;=المساطر!$F$62:$F$71)))</f>
        <v/>
      </c>
      <c r="Z31" s="22" t="str">
        <f t="shared" si="5"/>
        <v/>
      </c>
      <c r="AA31" s="21" t="str">
        <f t="shared" si="6"/>
        <v/>
      </c>
      <c r="AB31" s="4" t="str">
        <f t="shared" si="7"/>
        <v/>
      </c>
      <c r="AC31" s="21" t="str">
        <f t="shared" si="8"/>
        <v/>
      </c>
      <c r="AD31" s="22" t="str">
        <f t="shared" si="9"/>
        <v/>
      </c>
    </row>
    <row r="32" spans="1:30">
      <c r="A32" s="19">
        <v>27</v>
      </c>
      <c r="B32" s="5"/>
      <c r="C32" s="5"/>
      <c r="D32" s="5"/>
      <c r="E32" s="20"/>
      <c r="F32" s="20"/>
      <c r="G32" s="21" t="str">
        <f t="shared" si="0"/>
        <v/>
      </c>
      <c r="H32" s="22" t="str">
        <f>IF(G32="","",SUMPRODUCT(--(G32&gt;=المساطر!$B$62:$B$71)))</f>
        <v/>
      </c>
      <c r="I32" s="20"/>
      <c r="J32" s="20"/>
      <c r="K32" s="21" t="str">
        <f t="shared" si="1"/>
        <v/>
      </c>
      <c r="L32" s="22" t="str">
        <f>IF(K32="","",SUMPRODUCT(--(K32&gt;=المساطر!$C$62:$C$71)))</f>
        <v/>
      </c>
      <c r="M32" s="20"/>
      <c r="N32" s="20"/>
      <c r="O32" s="21" t="str">
        <f t="shared" si="2"/>
        <v/>
      </c>
      <c r="P32" s="22" t="str">
        <f>IF(O32="","",SUMPRODUCT(--(O32&gt;=المساطر!$D$62:$D$71)))</f>
        <v/>
      </c>
      <c r="Q32" s="20"/>
      <c r="R32" s="20"/>
      <c r="S32" s="20"/>
      <c r="T32" s="21" t="str">
        <f t="shared" si="3"/>
        <v/>
      </c>
      <c r="U32" s="22" t="str">
        <f>IF(T32="","",SUMPRODUCT(--(T32&gt;=المساطر!$E$62:$E$71)))</f>
        <v/>
      </c>
      <c r="V32" s="12"/>
      <c r="W32" s="12"/>
      <c r="X32" s="23" t="str">
        <f t="shared" si="4"/>
        <v/>
      </c>
      <c r="Y32" s="22" t="str">
        <f>IF(X32="","",SUMPRODUCT(--(X32&lt;=المساطر!$F$62:$F$71)))</f>
        <v/>
      </c>
      <c r="Z32" s="22" t="str">
        <f t="shared" si="5"/>
        <v/>
      </c>
      <c r="AA32" s="21" t="str">
        <f t="shared" si="6"/>
        <v/>
      </c>
      <c r="AB32" s="4" t="str">
        <f t="shared" si="7"/>
        <v/>
      </c>
      <c r="AC32" s="21" t="str">
        <f t="shared" si="8"/>
        <v/>
      </c>
      <c r="AD32" s="22" t="str">
        <f t="shared" si="9"/>
        <v/>
      </c>
    </row>
    <row r="33" spans="1:31">
      <c r="A33" s="19">
        <v>28</v>
      </c>
      <c r="B33" s="5"/>
      <c r="C33" s="5"/>
      <c r="D33" s="5"/>
      <c r="E33" s="20"/>
      <c r="F33" s="20"/>
      <c r="G33" s="21" t="str">
        <f t="shared" si="0"/>
        <v/>
      </c>
      <c r="H33" s="22" t="str">
        <f>IF(G33="","",SUMPRODUCT(--(G33&gt;=المساطر!$B$62:$B$71)))</f>
        <v/>
      </c>
      <c r="I33" s="20"/>
      <c r="J33" s="20"/>
      <c r="K33" s="21" t="str">
        <f t="shared" si="1"/>
        <v/>
      </c>
      <c r="L33" s="22" t="str">
        <f>IF(K33="","",SUMPRODUCT(--(K33&gt;=المساطر!$C$62:$C$71)))</f>
        <v/>
      </c>
      <c r="M33" s="20"/>
      <c r="N33" s="20"/>
      <c r="O33" s="21" t="str">
        <f t="shared" si="2"/>
        <v/>
      </c>
      <c r="P33" s="22" t="str">
        <f>IF(O33="","",SUMPRODUCT(--(O33&gt;=المساطر!$D$62:$D$71)))</f>
        <v/>
      </c>
      <c r="Q33" s="20"/>
      <c r="R33" s="20"/>
      <c r="S33" s="20"/>
      <c r="T33" s="21" t="str">
        <f t="shared" si="3"/>
        <v/>
      </c>
      <c r="U33" s="22" t="str">
        <f>IF(T33="","",SUMPRODUCT(--(T33&gt;=المساطر!$E$62:$E$71)))</f>
        <v/>
      </c>
      <c r="V33" s="12"/>
      <c r="W33" s="12"/>
      <c r="X33" s="23" t="str">
        <f t="shared" si="4"/>
        <v/>
      </c>
      <c r="Y33" s="22" t="str">
        <f>IF(X33="","",SUMPRODUCT(--(X33&lt;=المساطر!$F$62:$F$71)))</f>
        <v/>
      </c>
      <c r="Z33" s="22" t="str">
        <f t="shared" si="5"/>
        <v/>
      </c>
      <c r="AA33" s="21" t="str">
        <f t="shared" si="6"/>
        <v/>
      </c>
      <c r="AB33" s="4" t="str">
        <f t="shared" si="7"/>
        <v/>
      </c>
      <c r="AC33" s="21" t="str">
        <f t="shared" si="8"/>
        <v/>
      </c>
      <c r="AD33" s="22" t="str">
        <f t="shared" si="9"/>
        <v/>
      </c>
    </row>
    <row r="34" spans="1:31">
      <c r="A34" s="19">
        <v>29</v>
      </c>
      <c r="B34" s="5"/>
      <c r="C34" s="5"/>
      <c r="D34" s="5"/>
      <c r="E34" s="20"/>
      <c r="F34" s="20"/>
      <c r="G34" s="21" t="str">
        <f t="shared" si="0"/>
        <v/>
      </c>
      <c r="H34" s="22" t="str">
        <f>IF(G34="","",SUMPRODUCT(--(G34&gt;=المساطر!$B$62:$B$71)))</f>
        <v/>
      </c>
      <c r="I34" s="20"/>
      <c r="J34" s="20"/>
      <c r="K34" s="21" t="str">
        <f t="shared" si="1"/>
        <v/>
      </c>
      <c r="L34" s="22" t="str">
        <f>IF(K34="","",SUMPRODUCT(--(K34&gt;=المساطر!$C$62:$C$71)))</f>
        <v/>
      </c>
      <c r="M34" s="20"/>
      <c r="N34" s="20"/>
      <c r="O34" s="21" t="str">
        <f t="shared" si="2"/>
        <v/>
      </c>
      <c r="P34" s="22" t="str">
        <f>IF(O34="","",SUMPRODUCT(--(O34&gt;=المساطر!$D$62:$D$71)))</f>
        <v/>
      </c>
      <c r="Q34" s="20"/>
      <c r="R34" s="20"/>
      <c r="S34" s="20"/>
      <c r="T34" s="21" t="str">
        <f t="shared" si="3"/>
        <v/>
      </c>
      <c r="U34" s="22" t="str">
        <f>IF(T34="","",SUMPRODUCT(--(T34&gt;=المساطر!$E$62:$E$71)))</f>
        <v/>
      </c>
      <c r="V34" s="12"/>
      <c r="W34" s="12"/>
      <c r="X34" s="23" t="str">
        <f t="shared" si="4"/>
        <v/>
      </c>
      <c r="Y34" s="22" t="str">
        <f>IF(X34="","",SUMPRODUCT(--(X34&lt;=المساطر!$F$62:$F$71)))</f>
        <v/>
      </c>
      <c r="Z34" s="22" t="str">
        <f t="shared" si="5"/>
        <v/>
      </c>
      <c r="AA34" s="21" t="str">
        <f t="shared" si="6"/>
        <v/>
      </c>
      <c r="AB34" s="4" t="str">
        <f t="shared" si="7"/>
        <v/>
      </c>
      <c r="AC34" s="21" t="str">
        <f t="shared" si="8"/>
        <v/>
      </c>
      <c r="AD34" s="22" t="str">
        <f t="shared" si="9"/>
        <v/>
      </c>
    </row>
    <row r="35" spans="1:31">
      <c r="A35" s="19">
        <v>30</v>
      </c>
      <c r="B35" s="5"/>
      <c r="C35" s="5"/>
      <c r="D35" s="5"/>
      <c r="E35" s="20"/>
      <c r="F35" s="20"/>
      <c r="G35" s="21" t="str">
        <f t="shared" si="0"/>
        <v/>
      </c>
      <c r="H35" s="22" t="str">
        <f>IF(G35="","",SUMPRODUCT(--(G35&gt;=المساطر!$B$62:$B$71)))</f>
        <v/>
      </c>
      <c r="I35" s="20"/>
      <c r="J35" s="20"/>
      <c r="K35" s="21" t="str">
        <f t="shared" si="1"/>
        <v/>
      </c>
      <c r="L35" s="22" t="str">
        <f>IF(K35="","",SUMPRODUCT(--(K35&gt;=المساطر!$C$62:$C$71)))</f>
        <v/>
      </c>
      <c r="M35" s="20"/>
      <c r="N35" s="20"/>
      <c r="O35" s="21" t="str">
        <f t="shared" si="2"/>
        <v/>
      </c>
      <c r="P35" s="22" t="str">
        <f>IF(O35="","",SUMPRODUCT(--(O35&gt;=المساطر!$D$62:$D$71)))</f>
        <v/>
      </c>
      <c r="Q35" s="20"/>
      <c r="R35" s="20"/>
      <c r="S35" s="20"/>
      <c r="T35" s="21" t="str">
        <f t="shared" si="3"/>
        <v/>
      </c>
      <c r="U35" s="22" t="str">
        <f>IF(T35="","",SUMPRODUCT(--(T35&gt;=المساطر!$E$62:$E$71)))</f>
        <v/>
      </c>
      <c r="V35" s="12"/>
      <c r="W35" s="12"/>
      <c r="X35" s="23" t="str">
        <f t="shared" si="4"/>
        <v/>
      </c>
      <c r="Y35" s="22" t="str">
        <f>IF(X35="","",SUMPRODUCT(--(X35&lt;=المساطر!$F$62:$F$71)))</f>
        <v/>
      </c>
      <c r="Z35" s="22" t="str">
        <f t="shared" si="5"/>
        <v/>
      </c>
      <c r="AA35" s="21" t="str">
        <f t="shared" si="6"/>
        <v/>
      </c>
      <c r="AB35" s="4" t="str">
        <f t="shared" si="7"/>
        <v/>
      </c>
      <c r="AC35" s="21" t="str">
        <f t="shared" si="8"/>
        <v/>
      </c>
      <c r="AD35" s="22" t="str">
        <f t="shared" si="9"/>
        <v/>
      </c>
    </row>
    <row r="36" spans="1:31">
      <c r="A36" s="19">
        <v>31</v>
      </c>
      <c r="B36" s="5"/>
      <c r="C36" s="5"/>
      <c r="D36" s="5"/>
      <c r="E36" s="20"/>
      <c r="F36" s="20"/>
      <c r="G36" s="21" t="str">
        <f t="shared" si="0"/>
        <v/>
      </c>
      <c r="H36" s="22" t="str">
        <f>IF(G36="","",SUMPRODUCT(--(G36&gt;=المساطر!$B$62:$B$71)))</f>
        <v/>
      </c>
      <c r="I36" s="20"/>
      <c r="J36" s="20"/>
      <c r="K36" s="21" t="str">
        <f t="shared" si="1"/>
        <v/>
      </c>
      <c r="L36" s="22" t="str">
        <f>IF(K36="","",SUMPRODUCT(--(K36&gt;=المساطر!$C$62:$C$71)))</f>
        <v/>
      </c>
      <c r="M36" s="20"/>
      <c r="N36" s="20"/>
      <c r="O36" s="21" t="str">
        <f t="shared" si="2"/>
        <v/>
      </c>
      <c r="P36" s="22" t="str">
        <f>IF(O36="","",SUMPRODUCT(--(O36&gt;=المساطر!$D$62:$D$71)))</f>
        <v/>
      </c>
      <c r="Q36" s="20"/>
      <c r="R36" s="20"/>
      <c r="S36" s="20"/>
      <c r="T36" s="21" t="str">
        <f t="shared" si="3"/>
        <v/>
      </c>
      <c r="U36" s="22" t="str">
        <f>IF(T36="","",SUMPRODUCT(--(T36&gt;=المساطر!$E$62:$E$71)))</f>
        <v/>
      </c>
      <c r="V36" s="12"/>
      <c r="W36" s="12"/>
      <c r="X36" s="23" t="str">
        <f t="shared" si="4"/>
        <v/>
      </c>
      <c r="Y36" s="22" t="str">
        <f>IF(X36="","",SUMPRODUCT(--(X36&lt;=المساطر!$F$62:$F$71)))</f>
        <v/>
      </c>
      <c r="Z36" s="22" t="str">
        <f t="shared" si="5"/>
        <v/>
      </c>
      <c r="AA36" s="21" t="str">
        <f t="shared" si="6"/>
        <v/>
      </c>
      <c r="AB36" s="4" t="str">
        <f t="shared" si="7"/>
        <v/>
      </c>
      <c r="AC36" s="21" t="str">
        <f t="shared" si="8"/>
        <v/>
      </c>
      <c r="AD36" s="22" t="str">
        <f t="shared" si="9"/>
        <v/>
      </c>
    </row>
    <row r="37" spans="1:31">
      <c r="A37" s="19">
        <v>32</v>
      </c>
      <c r="B37" s="5"/>
      <c r="C37" s="5"/>
      <c r="D37" s="5"/>
      <c r="E37" s="20"/>
      <c r="F37" s="20"/>
      <c r="G37" s="21" t="str">
        <f t="shared" si="0"/>
        <v/>
      </c>
      <c r="H37" s="22" t="str">
        <f>IF(G37="","",SUMPRODUCT(--(G37&gt;=المساطر!$B$62:$B$71)))</f>
        <v/>
      </c>
      <c r="I37" s="20"/>
      <c r="J37" s="20"/>
      <c r="K37" s="21" t="str">
        <f t="shared" si="1"/>
        <v/>
      </c>
      <c r="L37" s="22" t="str">
        <f>IF(K37="","",SUMPRODUCT(--(K37&gt;=المساطر!$C$62:$C$71)))</f>
        <v/>
      </c>
      <c r="M37" s="20"/>
      <c r="N37" s="20"/>
      <c r="O37" s="21" t="str">
        <f t="shared" si="2"/>
        <v/>
      </c>
      <c r="P37" s="22" t="str">
        <f>IF(O37="","",SUMPRODUCT(--(O37&gt;=المساطر!$D$62:$D$71)))</f>
        <v/>
      </c>
      <c r="Q37" s="20"/>
      <c r="R37" s="20"/>
      <c r="S37" s="20"/>
      <c r="T37" s="21" t="str">
        <f t="shared" si="3"/>
        <v/>
      </c>
      <c r="U37" s="22" t="str">
        <f>IF(T37="","",SUMPRODUCT(--(T37&gt;=المساطر!$E$62:$E$71)))</f>
        <v/>
      </c>
      <c r="V37" s="12"/>
      <c r="W37" s="12"/>
      <c r="X37" s="23" t="str">
        <f t="shared" si="4"/>
        <v/>
      </c>
      <c r="Y37" s="22" t="str">
        <f>IF(X37="","",SUMPRODUCT(--(X37&lt;=المساطر!$F$62:$F$71)))</f>
        <v/>
      </c>
      <c r="Z37" s="22" t="str">
        <f t="shared" si="5"/>
        <v/>
      </c>
      <c r="AA37" s="21" t="str">
        <f t="shared" si="6"/>
        <v/>
      </c>
      <c r="AB37" s="4" t="str">
        <f t="shared" si="7"/>
        <v/>
      </c>
      <c r="AC37" s="21" t="str">
        <f t="shared" si="8"/>
        <v/>
      </c>
      <c r="AD37" s="22" t="str">
        <f t="shared" si="9"/>
        <v/>
      </c>
    </row>
    <row r="38" spans="1:31">
      <c r="A38" s="19">
        <v>33</v>
      </c>
      <c r="B38" s="5"/>
      <c r="C38" s="5"/>
      <c r="D38" s="5"/>
      <c r="E38" s="20"/>
      <c r="F38" s="20"/>
      <c r="G38" s="21" t="str">
        <f t="shared" si="0"/>
        <v/>
      </c>
      <c r="H38" s="22" t="str">
        <f>IF(G38="","",SUMPRODUCT(--(G38&gt;=المساطر!$B$62:$B$71)))</f>
        <v/>
      </c>
      <c r="I38" s="20"/>
      <c r="J38" s="20"/>
      <c r="K38" s="21" t="str">
        <f t="shared" si="1"/>
        <v/>
      </c>
      <c r="L38" s="22" t="str">
        <f>IF(K38="","",SUMPRODUCT(--(K38&gt;=المساطر!$C$62:$C$71)))</f>
        <v/>
      </c>
      <c r="M38" s="20"/>
      <c r="N38" s="20"/>
      <c r="O38" s="21" t="str">
        <f t="shared" si="2"/>
        <v/>
      </c>
      <c r="P38" s="22" t="str">
        <f>IF(O38="","",SUMPRODUCT(--(O38&gt;=المساطر!$D$62:$D$71)))</f>
        <v/>
      </c>
      <c r="Q38" s="20"/>
      <c r="R38" s="20"/>
      <c r="S38" s="20"/>
      <c r="T38" s="21" t="str">
        <f t="shared" si="3"/>
        <v/>
      </c>
      <c r="U38" s="22" t="str">
        <f>IF(T38="","",SUMPRODUCT(--(T38&gt;=المساطر!$E$62:$E$71)))</f>
        <v/>
      </c>
      <c r="V38" s="12"/>
      <c r="W38" s="12"/>
      <c r="X38" s="23" t="str">
        <f t="shared" si="4"/>
        <v/>
      </c>
      <c r="Y38" s="22" t="str">
        <f>IF(X38="","",SUMPRODUCT(--(X38&lt;=المساطر!$F$62:$F$71)))</f>
        <v/>
      </c>
      <c r="Z38" s="22" t="str">
        <f t="shared" si="5"/>
        <v/>
      </c>
      <c r="AA38" s="21" t="str">
        <f t="shared" si="6"/>
        <v/>
      </c>
      <c r="AB38" s="4" t="str">
        <f t="shared" si="7"/>
        <v/>
      </c>
      <c r="AC38" s="21" t="str">
        <f t="shared" si="8"/>
        <v/>
      </c>
      <c r="AD38" s="22" t="str">
        <f t="shared" si="9"/>
        <v/>
      </c>
    </row>
    <row r="39" spans="1:31">
      <c r="A39" s="19">
        <v>34</v>
      </c>
      <c r="B39" s="5"/>
      <c r="C39" s="5"/>
      <c r="D39" s="5"/>
      <c r="E39" s="20"/>
      <c r="F39" s="20"/>
      <c r="G39" s="21" t="str">
        <f t="shared" si="0"/>
        <v/>
      </c>
      <c r="H39" s="22" t="str">
        <f>IF(G39="","",SUMPRODUCT(--(G39&gt;=المساطر!$B$62:$B$71)))</f>
        <v/>
      </c>
      <c r="I39" s="20"/>
      <c r="J39" s="20"/>
      <c r="K39" s="21" t="str">
        <f t="shared" si="1"/>
        <v/>
      </c>
      <c r="L39" s="22" t="str">
        <f>IF(K39="","",SUMPRODUCT(--(K39&gt;=المساطر!$C$62:$C$71)))</f>
        <v/>
      </c>
      <c r="M39" s="20"/>
      <c r="N39" s="20"/>
      <c r="O39" s="21" t="str">
        <f t="shared" si="2"/>
        <v/>
      </c>
      <c r="P39" s="22" t="str">
        <f>IF(O39="","",SUMPRODUCT(--(O39&gt;=المساطر!$D$62:$D$71)))</f>
        <v/>
      </c>
      <c r="Q39" s="20"/>
      <c r="R39" s="20"/>
      <c r="S39" s="20"/>
      <c r="T39" s="21" t="str">
        <f t="shared" si="3"/>
        <v/>
      </c>
      <c r="U39" s="22" t="str">
        <f>IF(T39="","",SUMPRODUCT(--(T39&gt;=المساطر!$E$62:$E$71)))</f>
        <v/>
      </c>
      <c r="V39" s="12"/>
      <c r="W39" s="12"/>
      <c r="X39" s="23" t="str">
        <f t="shared" si="4"/>
        <v/>
      </c>
      <c r="Y39" s="22" t="str">
        <f>IF(X39="","",SUMPRODUCT(--(X39&lt;=المساطر!$F$62:$F$71)))</f>
        <v/>
      </c>
      <c r="Z39" s="22" t="str">
        <f t="shared" si="5"/>
        <v/>
      </c>
      <c r="AA39" s="21" t="str">
        <f t="shared" si="6"/>
        <v/>
      </c>
      <c r="AB39" s="4" t="str">
        <f t="shared" si="7"/>
        <v/>
      </c>
      <c r="AC39" s="21" t="str">
        <f t="shared" si="8"/>
        <v/>
      </c>
      <c r="AD39" s="22" t="str">
        <f t="shared" si="9"/>
        <v/>
      </c>
    </row>
    <row r="40" spans="1:31">
      <c r="A40" s="19">
        <v>35</v>
      </c>
      <c r="B40" s="5"/>
      <c r="C40" s="5"/>
      <c r="D40" s="5"/>
      <c r="E40" s="20"/>
      <c r="F40" s="20"/>
      <c r="G40" s="21" t="str">
        <f t="shared" si="0"/>
        <v/>
      </c>
      <c r="H40" s="22" t="str">
        <f>IF(G40="","",SUMPRODUCT(--(G40&gt;=المساطر!$B$62:$B$71)))</f>
        <v/>
      </c>
      <c r="I40" s="20"/>
      <c r="J40" s="20"/>
      <c r="K40" s="21" t="str">
        <f t="shared" si="1"/>
        <v/>
      </c>
      <c r="L40" s="22" t="str">
        <f>IF(K40="","",SUMPRODUCT(--(K40&gt;=المساطر!$C$62:$C$71)))</f>
        <v/>
      </c>
      <c r="M40" s="20"/>
      <c r="N40" s="20"/>
      <c r="O40" s="21" t="str">
        <f t="shared" si="2"/>
        <v/>
      </c>
      <c r="P40" s="22" t="str">
        <f>IF(O40="","",SUMPRODUCT(--(O40&gt;=المساطر!$D$62:$D$71)))</f>
        <v/>
      </c>
      <c r="Q40" s="20"/>
      <c r="R40" s="20"/>
      <c r="S40" s="20"/>
      <c r="T40" s="21" t="str">
        <f t="shared" si="3"/>
        <v/>
      </c>
      <c r="U40" s="22" t="str">
        <f>IF(T40="","",SUMPRODUCT(--(T40&gt;=المساطر!$E$62:$E$71)))</f>
        <v/>
      </c>
      <c r="V40" s="12"/>
      <c r="W40" s="12"/>
      <c r="X40" s="23" t="str">
        <f t="shared" si="4"/>
        <v/>
      </c>
      <c r="Y40" s="22" t="str">
        <f>IF(X40="","",SUMPRODUCT(--(X40&lt;=المساطر!$F$62:$F$71)))</f>
        <v/>
      </c>
      <c r="Z40" s="22" t="str">
        <f t="shared" si="5"/>
        <v/>
      </c>
      <c r="AA40" s="21" t="str">
        <f t="shared" si="6"/>
        <v/>
      </c>
      <c r="AB40" s="4" t="str">
        <f t="shared" si="7"/>
        <v/>
      </c>
      <c r="AC40" s="21" t="str">
        <f t="shared" si="8"/>
        <v/>
      </c>
      <c r="AD40" s="22" t="str">
        <f t="shared" si="9"/>
        <v/>
      </c>
    </row>
    <row r="41" spans="1:31">
      <c r="A41" s="19">
        <v>36</v>
      </c>
      <c r="B41" s="5"/>
      <c r="C41" s="5"/>
      <c r="D41" s="5"/>
      <c r="E41" s="20"/>
      <c r="F41" s="20"/>
      <c r="G41" s="21" t="str">
        <f t="shared" si="0"/>
        <v/>
      </c>
      <c r="H41" s="22" t="str">
        <f>IF(G41="","",SUMPRODUCT(--(G41&gt;=المساطر!$B$62:$B$71)))</f>
        <v/>
      </c>
      <c r="I41" s="20"/>
      <c r="J41" s="20"/>
      <c r="K41" s="21" t="str">
        <f t="shared" si="1"/>
        <v/>
      </c>
      <c r="L41" s="22" t="str">
        <f>IF(K41="","",SUMPRODUCT(--(K41&gt;=المساطر!$C$62:$C$71)))</f>
        <v/>
      </c>
      <c r="M41" s="20"/>
      <c r="N41" s="20"/>
      <c r="O41" s="21" t="str">
        <f t="shared" si="2"/>
        <v/>
      </c>
      <c r="P41" s="22" t="str">
        <f>IF(O41="","",SUMPRODUCT(--(O41&gt;=المساطر!$D$62:$D$71)))</f>
        <v/>
      </c>
      <c r="Q41" s="20"/>
      <c r="R41" s="20"/>
      <c r="S41" s="20"/>
      <c r="T41" s="21" t="str">
        <f t="shared" si="3"/>
        <v/>
      </c>
      <c r="U41" s="22" t="str">
        <f>IF(T41="","",SUMPRODUCT(--(T41&gt;=المساطر!$E$62:$E$71)))</f>
        <v/>
      </c>
      <c r="V41" s="12"/>
      <c r="W41" s="12"/>
      <c r="X41" s="23" t="str">
        <f t="shared" si="4"/>
        <v/>
      </c>
      <c r="Y41" s="22" t="str">
        <f>IF(X41="","",SUMPRODUCT(--(X41&lt;=المساطر!$F$62:$F$71)))</f>
        <v/>
      </c>
      <c r="Z41" s="22" t="str">
        <f t="shared" si="5"/>
        <v/>
      </c>
      <c r="AA41" s="21" t="str">
        <f t="shared" si="6"/>
        <v/>
      </c>
      <c r="AB41" s="4" t="str">
        <f t="shared" si="7"/>
        <v/>
      </c>
      <c r="AC41" s="21" t="str">
        <f t="shared" si="8"/>
        <v/>
      </c>
      <c r="AD41" s="22" t="str">
        <f t="shared" si="9"/>
        <v/>
      </c>
    </row>
    <row r="42" spans="1:31">
      <c r="A42" s="19">
        <v>37</v>
      </c>
      <c r="B42" s="5"/>
      <c r="C42" s="5"/>
      <c r="D42" s="5"/>
      <c r="E42" s="20"/>
      <c r="F42" s="20"/>
      <c r="G42" s="21" t="str">
        <f t="shared" si="0"/>
        <v/>
      </c>
      <c r="H42" s="22" t="str">
        <f>IF(G42="","",SUMPRODUCT(--(G42&gt;=المساطر!$B$62:$B$71)))</f>
        <v/>
      </c>
      <c r="I42" s="20"/>
      <c r="J42" s="20"/>
      <c r="K42" s="21" t="str">
        <f t="shared" si="1"/>
        <v/>
      </c>
      <c r="L42" s="22" t="str">
        <f>IF(K42="","",SUMPRODUCT(--(K42&gt;=المساطر!$C$62:$C$71)))</f>
        <v/>
      </c>
      <c r="M42" s="20"/>
      <c r="N42" s="20"/>
      <c r="O42" s="21" t="str">
        <f t="shared" si="2"/>
        <v/>
      </c>
      <c r="P42" s="22" t="str">
        <f>IF(O42="","",SUMPRODUCT(--(O42&gt;=المساطر!$D$62:$D$71)))</f>
        <v/>
      </c>
      <c r="Q42" s="20"/>
      <c r="R42" s="20"/>
      <c r="S42" s="20"/>
      <c r="T42" s="21" t="str">
        <f t="shared" si="3"/>
        <v/>
      </c>
      <c r="U42" s="22" t="str">
        <f>IF(T42="","",SUMPRODUCT(--(T42&gt;=المساطر!$E$62:$E$71)))</f>
        <v/>
      </c>
      <c r="V42" s="12"/>
      <c r="W42" s="12"/>
      <c r="X42" s="23" t="str">
        <f t="shared" si="4"/>
        <v/>
      </c>
      <c r="Y42" s="22" t="str">
        <f>IF(X42="","",SUMPRODUCT(--(X42&lt;=المساطر!$F$62:$F$71)))</f>
        <v/>
      </c>
      <c r="Z42" s="22" t="str">
        <f t="shared" si="5"/>
        <v/>
      </c>
      <c r="AA42" s="21" t="str">
        <f t="shared" si="6"/>
        <v/>
      </c>
      <c r="AB42" s="4" t="str">
        <f t="shared" si="7"/>
        <v/>
      </c>
      <c r="AC42" s="21" t="str">
        <f t="shared" si="8"/>
        <v/>
      </c>
      <c r="AD42" s="22" t="str">
        <f t="shared" si="9"/>
        <v/>
      </c>
    </row>
    <row r="43" spans="1:31">
      <c r="A43" s="19">
        <v>38</v>
      </c>
      <c r="B43" s="5"/>
      <c r="C43" s="5"/>
      <c r="D43" s="5"/>
      <c r="E43" s="20"/>
      <c r="F43" s="20"/>
      <c r="G43" s="21" t="str">
        <f t="shared" si="0"/>
        <v/>
      </c>
      <c r="H43" s="22" t="str">
        <f>IF(G43="","",SUMPRODUCT(--(G43&gt;=المساطر!$B$62:$B$71)))</f>
        <v/>
      </c>
      <c r="I43" s="20"/>
      <c r="J43" s="20"/>
      <c r="K43" s="21" t="str">
        <f t="shared" si="1"/>
        <v/>
      </c>
      <c r="L43" s="22" t="str">
        <f>IF(K43="","",SUMPRODUCT(--(K43&gt;=المساطر!$C$62:$C$71)))</f>
        <v/>
      </c>
      <c r="M43" s="20"/>
      <c r="N43" s="20"/>
      <c r="O43" s="21" t="str">
        <f t="shared" si="2"/>
        <v/>
      </c>
      <c r="P43" s="22" t="str">
        <f>IF(O43="","",SUMPRODUCT(--(O43&gt;=المساطر!$D$62:$D$71)))</f>
        <v/>
      </c>
      <c r="Q43" s="20"/>
      <c r="R43" s="20"/>
      <c r="S43" s="20"/>
      <c r="T43" s="21" t="str">
        <f t="shared" si="3"/>
        <v/>
      </c>
      <c r="U43" s="22" t="str">
        <f>IF(T43="","",SUMPRODUCT(--(T43&gt;=المساطر!$E$62:$E$71)))</f>
        <v/>
      </c>
      <c r="V43" s="12"/>
      <c r="W43" s="12"/>
      <c r="X43" s="23" t="str">
        <f t="shared" si="4"/>
        <v/>
      </c>
      <c r="Y43" s="22" t="str">
        <f>IF(X43="","",SUMPRODUCT(--(X43&lt;=المساطر!$F$62:$F$71)))</f>
        <v/>
      </c>
      <c r="Z43" s="22" t="str">
        <f t="shared" si="5"/>
        <v/>
      </c>
      <c r="AA43" s="21" t="str">
        <f t="shared" si="6"/>
        <v/>
      </c>
      <c r="AB43" s="4" t="str">
        <f t="shared" si="7"/>
        <v/>
      </c>
      <c r="AC43" s="21" t="str">
        <f t="shared" si="8"/>
        <v/>
      </c>
      <c r="AD43" s="22" t="str">
        <f t="shared" si="9"/>
        <v/>
      </c>
    </row>
    <row r="44" spans="1:31">
      <c r="A44" s="19">
        <v>39</v>
      </c>
      <c r="B44" s="5"/>
      <c r="C44" s="5"/>
      <c r="D44" s="5"/>
      <c r="E44" s="20"/>
      <c r="F44" s="20"/>
      <c r="G44" s="21" t="str">
        <f t="shared" si="0"/>
        <v/>
      </c>
      <c r="H44" s="22" t="str">
        <f>IF(G44="","",SUMPRODUCT(--(G44&gt;=المساطر!$B$62:$B$71)))</f>
        <v/>
      </c>
      <c r="I44" s="20"/>
      <c r="J44" s="20"/>
      <c r="K44" s="21" t="str">
        <f t="shared" si="1"/>
        <v/>
      </c>
      <c r="L44" s="22" t="str">
        <f>IF(K44="","",SUMPRODUCT(--(K44&gt;=المساطر!$C$62:$C$71)))</f>
        <v/>
      </c>
      <c r="M44" s="20"/>
      <c r="N44" s="20"/>
      <c r="O44" s="21" t="str">
        <f t="shared" si="2"/>
        <v/>
      </c>
      <c r="P44" s="22" t="str">
        <f>IF(O44="","",SUMPRODUCT(--(O44&gt;=المساطر!$D$62:$D$71)))</f>
        <v/>
      </c>
      <c r="Q44" s="20"/>
      <c r="R44" s="20"/>
      <c r="S44" s="20"/>
      <c r="T44" s="21" t="str">
        <f t="shared" si="3"/>
        <v/>
      </c>
      <c r="U44" s="22" t="str">
        <f>IF(T44="","",SUMPRODUCT(--(T44&gt;=المساطر!$E$62:$E$71)))</f>
        <v/>
      </c>
      <c r="V44" s="12"/>
      <c r="W44" s="12"/>
      <c r="X44" s="23" t="str">
        <f t="shared" si="4"/>
        <v/>
      </c>
      <c r="Y44" s="22" t="str">
        <f>IF(X44="","",SUMPRODUCT(--(X44&lt;=المساطر!$F$62:$F$71)))</f>
        <v/>
      </c>
      <c r="Z44" s="22" t="str">
        <f t="shared" si="5"/>
        <v/>
      </c>
      <c r="AA44" s="21" t="str">
        <f t="shared" si="6"/>
        <v/>
      </c>
      <c r="AB44" s="4" t="str">
        <f t="shared" si="7"/>
        <v/>
      </c>
      <c r="AC44" s="21" t="str">
        <f t="shared" si="8"/>
        <v/>
      </c>
      <c r="AD44" s="22" t="str">
        <f t="shared" si="9"/>
        <v/>
      </c>
    </row>
    <row r="45" spans="1:31">
      <c r="A45" s="19">
        <v>40</v>
      </c>
      <c r="B45" s="5"/>
      <c r="C45" s="5"/>
      <c r="D45" s="5"/>
      <c r="E45" s="20"/>
      <c r="F45" s="20"/>
      <c r="G45" s="21" t="str">
        <f t="shared" si="0"/>
        <v/>
      </c>
      <c r="H45" s="22" t="str">
        <f>IF(G45="","",SUMPRODUCT(--(G45&gt;=المساطر!$B$62:$B$71)))</f>
        <v/>
      </c>
      <c r="I45" s="20"/>
      <c r="J45" s="20"/>
      <c r="K45" s="21" t="str">
        <f t="shared" si="1"/>
        <v/>
      </c>
      <c r="L45" s="22" t="str">
        <f>IF(K45="","",SUMPRODUCT(--(K45&gt;=المساطر!$C$62:$C$71)))</f>
        <v/>
      </c>
      <c r="M45" s="20"/>
      <c r="N45" s="20"/>
      <c r="O45" s="21" t="str">
        <f t="shared" si="2"/>
        <v/>
      </c>
      <c r="P45" s="22" t="str">
        <f>IF(O45="","",SUMPRODUCT(--(O45&gt;=المساطر!$D$62:$D$71)))</f>
        <v/>
      </c>
      <c r="Q45" s="20"/>
      <c r="R45" s="20"/>
      <c r="S45" s="20"/>
      <c r="T45" s="21" t="str">
        <f t="shared" si="3"/>
        <v/>
      </c>
      <c r="U45" s="22" t="str">
        <f>IF(T45="","",SUMPRODUCT(--(T45&gt;=المساطر!$E$62:$E$71)))</f>
        <v/>
      </c>
      <c r="V45" s="12"/>
      <c r="W45" s="12"/>
      <c r="X45" s="23" t="str">
        <f t="shared" si="4"/>
        <v/>
      </c>
      <c r="Y45" s="22" t="str">
        <f>IF(X45="","",SUMPRODUCT(--(X45&lt;=المساطر!$F$62:$F$71)))</f>
        <v/>
      </c>
      <c r="Z45" s="22" t="str">
        <f t="shared" si="5"/>
        <v/>
      </c>
      <c r="AA45" s="21" t="str">
        <f t="shared" si="6"/>
        <v/>
      </c>
      <c r="AB45" s="4" t="str">
        <f t="shared" si="7"/>
        <v/>
      </c>
      <c r="AC45" s="21" t="str">
        <f t="shared" si="8"/>
        <v/>
      </c>
      <c r="AD45" s="22" t="str">
        <f t="shared" si="9"/>
        <v/>
      </c>
    </row>
    <row r="47" spans="1:31" ht="48" customHeight="1">
      <c r="A47" s="42" t="s">
        <v>125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</row>
  </sheetData>
  <mergeCells count="17">
    <mergeCell ref="AD3:AD4"/>
    <mergeCell ref="A47:AE47"/>
    <mergeCell ref="A1:AE1"/>
    <mergeCell ref="A2:AE2"/>
    <mergeCell ref="A3:A4"/>
    <mergeCell ref="B3:B4"/>
    <mergeCell ref="C3:C4"/>
    <mergeCell ref="D3:D4"/>
    <mergeCell ref="E3:H3"/>
    <mergeCell ref="I3:L3"/>
    <mergeCell ref="M3:P3"/>
    <mergeCell ref="Q3:U3"/>
    <mergeCell ref="V3:Y3"/>
    <mergeCell ref="Z3:Z4"/>
    <mergeCell ref="AA3:AA4"/>
    <mergeCell ref="AB3:AB4"/>
    <mergeCell ref="AC3:AC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597"/>
    <pageSetUpPr fitToPage="1"/>
  </sheetPr>
  <dimension ref="A1:K44"/>
  <sheetViews>
    <sheetView rightToLeft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K1"/>
    </sheetView>
  </sheetViews>
  <sheetFormatPr defaultColWidth="8.6640625" defaultRowHeight="14.4"/>
  <cols>
    <col min="1" max="1" width="6" customWidth="1"/>
    <col min="2" max="2" width="12" customWidth="1"/>
    <col min="3" max="3" width="26" customWidth="1"/>
    <col min="4" max="4" width="22" customWidth="1"/>
    <col min="5" max="5" width="11" customWidth="1"/>
    <col min="6" max="6" width="9" customWidth="1"/>
    <col min="7" max="7" width="12" customWidth="1"/>
    <col min="8" max="9" width="11" customWidth="1"/>
    <col min="10" max="10" width="20" customWidth="1"/>
    <col min="11" max="11" width="24" customWidth="1"/>
  </cols>
  <sheetData>
    <row r="1" spans="1:11" ht="30" customHeight="1">
      <c r="A1" s="35" t="s">
        <v>135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15" customHeight="1">
      <c r="A2" s="36" t="s">
        <v>57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ht="42" customHeight="1">
      <c r="A3" s="1" t="s">
        <v>2</v>
      </c>
      <c r="B3" s="1" t="s">
        <v>4</v>
      </c>
      <c r="C3" s="1" t="s">
        <v>136</v>
      </c>
      <c r="D3" s="1" t="s">
        <v>15</v>
      </c>
      <c r="E3" s="1" t="s">
        <v>58</v>
      </c>
      <c r="F3" s="1" t="s">
        <v>137</v>
      </c>
      <c r="G3" s="1" t="s">
        <v>110</v>
      </c>
      <c r="H3" s="1" t="s">
        <v>138</v>
      </c>
      <c r="I3" s="1" t="s">
        <v>139</v>
      </c>
      <c r="J3" s="1" t="s">
        <v>140</v>
      </c>
      <c r="K3" s="1" t="s">
        <v>65</v>
      </c>
    </row>
    <row r="4" spans="1:11">
      <c r="A4" s="7" t="s">
        <v>121</v>
      </c>
      <c r="B4" s="7" t="s">
        <v>141</v>
      </c>
      <c r="C4" s="7" t="s">
        <v>122</v>
      </c>
      <c r="D4" s="7" t="s">
        <v>142</v>
      </c>
      <c r="E4" s="7" t="s">
        <v>143</v>
      </c>
      <c r="F4" s="7" t="s">
        <v>144</v>
      </c>
      <c r="G4" s="7">
        <v>38</v>
      </c>
      <c r="H4" s="7">
        <v>1</v>
      </c>
      <c r="I4" s="7" t="s">
        <v>145</v>
      </c>
      <c r="J4" s="7" t="s">
        <v>146</v>
      </c>
      <c r="K4" s="7"/>
    </row>
    <row r="5" spans="1:11">
      <c r="A5" s="19">
        <v>1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>
      <c r="A6" s="19">
        <v>2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>
      <c r="A7" s="19">
        <v>3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>
      <c r="A8" s="19">
        <v>4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>
      <c r="A9" s="19">
        <v>5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>
      <c r="A10" s="19">
        <v>6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19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19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19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19">
        <v>10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19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19">
        <v>12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19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19">
        <v>14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19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19">
        <v>16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19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19">
        <v>18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19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19">
        <v>20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19">
        <v>21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19">
        <v>22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19">
        <v>23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19">
        <v>24</v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19">
        <v>25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19">
        <v>26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19">
        <v>27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19">
        <v>28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19">
        <v>29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19">
        <v>30</v>
      </c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19">
        <v>31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19">
        <v>32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19">
        <v>33</v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19">
        <v>34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19">
        <v>35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19">
        <v>36</v>
      </c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19">
        <v>37</v>
      </c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19">
        <v>38</v>
      </c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19">
        <v>39</v>
      </c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19">
        <v>40</v>
      </c>
      <c r="B44" s="5"/>
      <c r="C44" s="5"/>
      <c r="D44" s="5"/>
      <c r="E44" s="5"/>
      <c r="F44" s="5"/>
      <c r="G44" s="5"/>
      <c r="H44" s="5"/>
      <c r="I44" s="5"/>
      <c r="J44" s="5"/>
      <c r="K44" s="5"/>
    </row>
  </sheetData>
  <mergeCells count="2">
    <mergeCell ref="A1:K1"/>
    <mergeCell ref="A2:K2"/>
  </mergeCells>
  <dataValidations count="4">
    <dataValidation type="list" allowBlank="1" sqref="B5:B44">
      <formula1>"معهد,إدارة,منطقة"</formula1>
      <formula2>0</formula2>
    </dataValidation>
    <dataValidation type="list" allowBlank="1" sqref="E5:E44">
      <formula1>"ابتدائي,إعدادي,ثانوي"</formula1>
      <formula2>0</formula2>
    </dataValidation>
    <dataValidation type="list" allowBlank="1" sqref="F5:F44">
      <formula1>"بنين,بنات"</formula1>
      <formula2>0</formula2>
    </dataValidation>
    <dataValidation type="list" allowBlank="1" sqref="I5:I44">
      <formula1>"أساسي,احتياطي"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597"/>
    <pageSetUpPr fitToPage="1"/>
  </sheetPr>
  <dimension ref="A1:I44"/>
  <sheetViews>
    <sheetView rightToLeft="1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I1"/>
    </sheetView>
  </sheetViews>
  <sheetFormatPr defaultColWidth="8.6640625" defaultRowHeight="14.4"/>
  <cols>
    <col min="1" max="1" width="6" customWidth="1"/>
    <col min="2" max="2" width="26" customWidth="1"/>
    <col min="3" max="3" width="22" customWidth="1"/>
    <col min="4" max="4" width="11" customWidth="1"/>
    <col min="5" max="5" width="9" customWidth="1"/>
    <col min="6" max="7" width="14" customWidth="1"/>
    <col min="8" max="8" width="22" customWidth="1"/>
    <col min="9" max="9" width="26" customWidth="1"/>
  </cols>
  <sheetData>
    <row r="1" spans="1:9" ht="30" customHeight="1">
      <c r="A1" s="35" t="s">
        <v>147</v>
      </c>
      <c r="B1" s="35"/>
      <c r="C1" s="35"/>
      <c r="D1" s="35"/>
      <c r="E1" s="35"/>
      <c r="F1" s="35"/>
      <c r="G1" s="35"/>
      <c r="H1" s="35"/>
      <c r="I1" s="35"/>
    </row>
    <row r="2" spans="1:9" ht="15" customHeight="1">
      <c r="A2" s="36" t="s">
        <v>57</v>
      </c>
      <c r="B2" s="36"/>
      <c r="C2" s="36"/>
      <c r="D2" s="36"/>
      <c r="E2" s="36"/>
      <c r="F2" s="36"/>
      <c r="G2" s="36"/>
      <c r="H2" s="36"/>
      <c r="I2" s="36"/>
    </row>
    <row r="3" spans="1:9" ht="42" customHeight="1">
      <c r="A3" s="1" t="s">
        <v>2</v>
      </c>
      <c r="B3" s="1" t="s">
        <v>136</v>
      </c>
      <c r="C3" s="1" t="s">
        <v>15</v>
      </c>
      <c r="D3" s="1" t="s">
        <v>58</v>
      </c>
      <c r="E3" s="1" t="s">
        <v>137</v>
      </c>
      <c r="F3" s="1" t="s">
        <v>148</v>
      </c>
      <c r="G3" s="1" t="s">
        <v>149</v>
      </c>
      <c r="H3" s="1" t="s">
        <v>150</v>
      </c>
      <c r="I3" s="1" t="s">
        <v>65</v>
      </c>
    </row>
    <row r="4" spans="1:9">
      <c r="A4" s="7" t="s">
        <v>121</v>
      </c>
      <c r="B4" s="7" t="s">
        <v>122</v>
      </c>
      <c r="C4" s="7" t="s">
        <v>142</v>
      </c>
      <c r="D4" s="7" t="s">
        <v>143</v>
      </c>
      <c r="E4" s="7" t="s">
        <v>144</v>
      </c>
      <c r="F4" s="7" t="s">
        <v>151</v>
      </c>
      <c r="G4" s="7" t="s">
        <v>152</v>
      </c>
      <c r="H4" s="7" t="s">
        <v>153</v>
      </c>
      <c r="I4" s="7"/>
    </row>
    <row r="5" spans="1:9">
      <c r="A5" s="19">
        <v>1</v>
      </c>
      <c r="B5" s="5"/>
      <c r="C5" s="5"/>
      <c r="D5" s="5"/>
      <c r="E5" s="5"/>
      <c r="F5" s="5"/>
      <c r="G5" s="5"/>
      <c r="H5" s="5"/>
      <c r="I5" s="5"/>
    </row>
    <row r="6" spans="1:9">
      <c r="A6" s="19">
        <v>2</v>
      </c>
      <c r="B6" s="5"/>
      <c r="C6" s="5"/>
      <c r="D6" s="5"/>
      <c r="E6" s="5"/>
      <c r="F6" s="5"/>
      <c r="G6" s="5"/>
      <c r="H6" s="5"/>
      <c r="I6" s="5"/>
    </row>
    <row r="7" spans="1:9">
      <c r="A7" s="19">
        <v>3</v>
      </c>
      <c r="B7" s="5"/>
      <c r="C7" s="5"/>
      <c r="D7" s="5"/>
      <c r="E7" s="5"/>
      <c r="F7" s="5"/>
      <c r="G7" s="5"/>
      <c r="H7" s="5"/>
      <c r="I7" s="5"/>
    </row>
    <row r="8" spans="1:9">
      <c r="A8" s="19">
        <v>4</v>
      </c>
      <c r="B8" s="5"/>
      <c r="C8" s="5"/>
      <c r="D8" s="5"/>
      <c r="E8" s="5"/>
      <c r="F8" s="5"/>
      <c r="G8" s="5"/>
      <c r="H8" s="5"/>
      <c r="I8" s="5"/>
    </row>
    <row r="9" spans="1:9">
      <c r="A9" s="19">
        <v>5</v>
      </c>
      <c r="B9" s="5"/>
      <c r="C9" s="5"/>
      <c r="D9" s="5"/>
      <c r="E9" s="5"/>
      <c r="F9" s="5"/>
      <c r="G9" s="5"/>
      <c r="H9" s="5"/>
      <c r="I9" s="5"/>
    </row>
    <row r="10" spans="1:9">
      <c r="A10" s="19">
        <v>6</v>
      </c>
      <c r="B10" s="5"/>
      <c r="C10" s="5"/>
      <c r="D10" s="5"/>
      <c r="E10" s="5"/>
      <c r="F10" s="5"/>
      <c r="G10" s="5"/>
      <c r="H10" s="5"/>
      <c r="I10" s="5"/>
    </row>
    <row r="11" spans="1:9">
      <c r="A11" s="19">
        <v>7</v>
      </c>
      <c r="B11" s="5"/>
      <c r="C11" s="5"/>
      <c r="D11" s="5"/>
      <c r="E11" s="5"/>
      <c r="F11" s="5"/>
      <c r="G11" s="5"/>
      <c r="H11" s="5"/>
      <c r="I11" s="5"/>
    </row>
    <row r="12" spans="1:9">
      <c r="A12" s="19">
        <v>8</v>
      </c>
      <c r="B12" s="5"/>
      <c r="C12" s="5"/>
      <c r="D12" s="5"/>
      <c r="E12" s="5"/>
      <c r="F12" s="5"/>
      <c r="G12" s="5"/>
      <c r="H12" s="5"/>
      <c r="I12" s="5"/>
    </row>
    <row r="13" spans="1:9">
      <c r="A13" s="19">
        <v>9</v>
      </c>
      <c r="B13" s="5"/>
      <c r="C13" s="5"/>
      <c r="D13" s="5"/>
      <c r="E13" s="5"/>
      <c r="F13" s="5"/>
      <c r="G13" s="5"/>
      <c r="H13" s="5"/>
      <c r="I13" s="5"/>
    </row>
    <row r="14" spans="1:9">
      <c r="A14" s="19">
        <v>10</v>
      </c>
      <c r="B14" s="5"/>
      <c r="C14" s="5"/>
      <c r="D14" s="5"/>
      <c r="E14" s="5"/>
      <c r="F14" s="5"/>
      <c r="G14" s="5"/>
      <c r="H14" s="5"/>
      <c r="I14" s="5"/>
    </row>
    <row r="15" spans="1:9">
      <c r="A15" s="19">
        <v>11</v>
      </c>
      <c r="B15" s="5"/>
      <c r="C15" s="5"/>
      <c r="D15" s="5"/>
      <c r="E15" s="5"/>
      <c r="F15" s="5"/>
      <c r="G15" s="5"/>
      <c r="H15" s="5"/>
      <c r="I15" s="5"/>
    </row>
    <row r="16" spans="1:9">
      <c r="A16" s="19">
        <v>12</v>
      </c>
      <c r="B16" s="5"/>
      <c r="C16" s="5"/>
      <c r="D16" s="5"/>
      <c r="E16" s="5"/>
      <c r="F16" s="5"/>
      <c r="G16" s="5"/>
      <c r="H16" s="5"/>
      <c r="I16" s="5"/>
    </row>
    <row r="17" spans="1:9">
      <c r="A17" s="19">
        <v>13</v>
      </c>
      <c r="B17" s="5"/>
      <c r="C17" s="5"/>
      <c r="D17" s="5"/>
      <c r="E17" s="5"/>
      <c r="F17" s="5"/>
      <c r="G17" s="5"/>
      <c r="H17" s="5"/>
      <c r="I17" s="5"/>
    </row>
    <row r="18" spans="1:9">
      <c r="A18" s="19">
        <v>14</v>
      </c>
      <c r="B18" s="5"/>
      <c r="C18" s="5"/>
      <c r="D18" s="5"/>
      <c r="E18" s="5"/>
      <c r="F18" s="5"/>
      <c r="G18" s="5"/>
      <c r="H18" s="5"/>
      <c r="I18" s="5"/>
    </row>
    <row r="19" spans="1:9">
      <c r="A19" s="19">
        <v>15</v>
      </c>
      <c r="B19" s="5"/>
      <c r="C19" s="5"/>
      <c r="D19" s="5"/>
      <c r="E19" s="5"/>
      <c r="F19" s="5"/>
      <c r="G19" s="5"/>
      <c r="H19" s="5"/>
      <c r="I19" s="5"/>
    </row>
    <row r="20" spans="1:9">
      <c r="A20" s="19">
        <v>16</v>
      </c>
      <c r="B20" s="5"/>
      <c r="C20" s="5"/>
      <c r="D20" s="5"/>
      <c r="E20" s="5"/>
      <c r="F20" s="5"/>
      <c r="G20" s="5"/>
      <c r="H20" s="5"/>
      <c r="I20" s="5"/>
    </row>
    <row r="21" spans="1:9">
      <c r="A21" s="19">
        <v>17</v>
      </c>
      <c r="B21" s="5"/>
      <c r="C21" s="5"/>
      <c r="D21" s="5"/>
      <c r="E21" s="5"/>
      <c r="F21" s="5"/>
      <c r="G21" s="5"/>
      <c r="H21" s="5"/>
      <c r="I21" s="5"/>
    </row>
    <row r="22" spans="1:9">
      <c r="A22" s="19">
        <v>18</v>
      </c>
      <c r="B22" s="5"/>
      <c r="C22" s="5"/>
      <c r="D22" s="5"/>
      <c r="E22" s="5"/>
      <c r="F22" s="5"/>
      <c r="G22" s="5"/>
      <c r="H22" s="5"/>
      <c r="I22" s="5"/>
    </row>
    <row r="23" spans="1:9">
      <c r="A23" s="19">
        <v>19</v>
      </c>
      <c r="B23" s="5"/>
      <c r="C23" s="5"/>
      <c r="D23" s="5"/>
      <c r="E23" s="5"/>
      <c r="F23" s="5"/>
      <c r="G23" s="5"/>
      <c r="H23" s="5"/>
      <c r="I23" s="5"/>
    </row>
    <row r="24" spans="1:9">
      <c r="A24" s="19">
        <v>20</v>
      </c>
      <c r="B24" s="5"/>
      <c r="C24" s="5"/>
      <c r="D24" s="5"/>
      <c r="E24" s="5"/>
      <c r="F24" s="5"/>
      <c r="G24" s="5"/>
      <c r="H24" s="5"/>
      <c r="I24" s="5"/>
    </row>
    <row r="25" spans="1:9">
      <c r="A25" s="19">
        <v>21</v>
      </c>
      <c r="B25" s="5"/>
      <c r="C25" s="5"/>
      <c r="D25" s="5"/>
      <c r="E25" s="5"/>
      <c r="F25" s="5"/>
      <c r="G25" s="5"/>
      <c r="H25" s="5"/>
      <c r="I25" s="5"/>
    </row>
    <row r="26" spans="1:9">
      <c r="A26" s="19">
        <v>22</v>
      </c>
      <c r="B26" s="5"/>
      <c r="C26" s="5"/>
      <c r="D26" s="5"/>
      <c r="E26" s="5"/>
      <c r="F26" s="5"/>
      <c r="G26" s="5"/>
      <c r="H26" s="5"/>
      <c r="I26" s="5"/>
    </row>
    <row r="27" spans="1:9">
      <c r="A27" s="19">
        <v>23</v>
      </c>
      <c r="B27" s="5"/>
      <c r="C27" s="5"/>
      <c r="D27" s="5"/>
      <c r="E27" s="5"/>
      <c r="F27" s="5"/>
      <c r="G27" s="5"/>
      <c r="H27" s="5"/>
      <c r="I27" s="5"/>
    </row>
    <row r="28" spans="1:9">
      <c r="A28" s="19">
        <v>24</v>
      </c>
      <c r="B28" s="5"/>
      <c r="C28" s="5"/>
      <c r="D28" s="5"/>
      <c r="E28" s="5"/>
      <c r="F28" s="5"/>
      <c r="G28" s="5"/>
      <c r="H28" s="5"/>
      <c r="I28" s="5"/>
    </row>
    <row r="29" spans="1:9">
      <c r="A29" s="19">
        <v>25</v>
      </c>
      <c r="B29" s="5"/>
      <c r="C29" s="5"/>
      <c r="D29" s="5"/>
      <c r="E29" s="5"/>
      <c r="F29" s="5"/>
      <c r="G29" s="5"/>
      <c r="H29" s="5"/>
      <c r="I29" s="5"/>
    </row>
    <row r="30" spans="1:9">
      <c r="A30" s="19">
        <v>26</v>
      </c>
      <c r="B30" s="5"/>
      <c r="C30" s="5"/>
      <c r="D30" s="5"/>
      <c r="E30" s="5"/>
      <c r="F30" s="5"/>
      <c r="G30" s="5"/>
      <c r="H30" s="5"/>
      <c r="I30" s="5"/>
    </row>
    <row r="31" spans="1:9">
      <c r="A31" s="19">
        <v>27</v>
      </c>
      <c r="B31" s="5"/>
      <c r="C31" s="5"/>
      <c r="D31" s="5"/>
      <c r="E31" s="5"/>
      <c r="F31" s="5"/>
      <c r="G31" s="5"/>
      <c r="H31" s="5"/>
      <c r="I31" s="5"/>
    </row>
    <row r="32" spans="1:9">
      <c r="A32" s="19">
        <v>28</v>
      </c>
      <c r="B32" s="5"/>
      <c r="C32" s="5"/>
      <c r="D32" s="5"/>
      <c r="E32" s="5"/>
      <c r="F32" s="5"/>
      <c r="G32" s="5"/>
      <c r="H32" s="5"/>
      <c r="I32" s="5"/>
    </row>
    <row r="33" spans="1:9">
      <c r="A33" s="19">
        <v>29</v>
      </c>
      <c r="B33" s="5"/>
      <c r="C33" s="5"/>
      <c r="D33" s="5"/>
      <c r="E33" s="5"/>
      <c r="F33" s="5"/>
      <c r="G33" s="5"/>
      <c r="H33" s="5"/>
      <c r="I33" s="5"/>
    </row>
    <row r="34" spans="1:9">
      <c r="A34" s="19">
        <v>30</v>
      </c>
      <c r="B34" s="5"/>
      <c r="C34" s="5"/>
      <c r="D34" s="5"/>
      <c r="E34" s="5"/>
      <c r="F34" s="5"/>
      <c r="G34" s="5"/>
      <c r="H34" s="5"/>
      <c r="I34" s="5"/>
    </row>
    <row r="35" spans="1:9">
      <c r="A35" s="19">
        <v>31</v>
      </c>
      <c r="B35" s="5"/>
      <c r="C35" s="5"/>
      <c r="D35" s="5"/>
      <c r="E35" s="5"/>
      <c r="F35" s="5"/>
      <c r="G35" s="5"/>
      <c r="H35" s="5"/>
      <c r="I35" s="5"/>
    </row>
    <row r="36" spans="1:9">
      <c r="A36" s="19">
        <v>32</v>
      </c>
      <c r="B36" s="5"/>
      <c r="C36" s="5"/>
      <c r="D36" s="5"/>
      <c r="E36" s="5"/>
      <c r="F36" s="5"/>
      <c r="G36" s="5"/>
      <c r="H36" s="5"/>
      <c r="I36" s="5"/>
    </row>
    <row r="37" spans="1:9">
      <c r="A37" s="19">
        <v>33</v>
      </c>
      <c r="B37" s="5"/>
      <c r="C37" s="5"/>
      <c r="D37" s="5"/>
      <c r="E37" s="5"/>
      <c r="F37" s="5"/>
      <c r="G37" s="5"/>
      <c r="H37" s="5"/>
      <c r="I37" s="5"/>
    </row>
    <row r="38" spans="1:9">
      <c r="A38" s="19">
        <v>34</v>
      </c>
      <c r="B38" s="5"/>
      <c r="C38" s="5"/>
      <c r="D38" s="5"/>
      <c r="E38" s="5"/>
      <c r="F38" s="5"/>
      <c r="G38" s="5"/>
      <c r="H38" s="5"/>
      <c r="I38" s="5"/>
    </row>
    <row r="39" spans="1:9">
      <c r="A39" s="19">
        <v>35</v>
      </c>
      <c r="B39" s="5"/>
      <c r="C39" s="5"/>
      <c r="D39" s="5"/>
      <c r="E39" s="5"/>
      <c r="F39" s="5"/>
      <c r="G39" s="5"/>
      <c r="H39" s="5"/>
      <c r="I39" s="5"/>
    </row>
    <row r="40" spans="1:9">
      <c r="A40" s="19">
        <v>36</v>
      </c>
      <c r="B40" s="5"/>
      <c r="C40" s="5"/>
      <c r="D40" s="5"/>
      <c r="E40" s="5"/>
      <c r="F40" s="5"/>
      <c r="G40" s="5"/>
      <c r="H40" s="5"/>
      <c r="I40" s="5"/>
    </row>
    <row r="41" spans="1:9">
      <c r="A41" s="19">
        <v>37</v>
      </c>
      <c r="B41" s="5"/>
      <c r="C41" s="5"/>
      <c r="D41" s="5"/>
      <c r="E41" s="5"/>
      <c r="F41" s="5"/>
      <c r="G41" s="5"/>
      <c r="H41" s="5"/>
      <c r="I41" s="5"/>
    </row>
    <row r="42" spans="1:9">
      <c r="A42" s="19">
        <v>38</v>
      </c>
      <c r="B42" s="5"/>
      <c r="C42" s="5"/>
      <c r="D42" s="5"/>
      <c r="E42" s="5"/>
      <c r="F42" s="5"/>
      <c r="G42" s="5"/>
      <c r="H42" s="5"/>
      <c r="I42" s="5"/>
    </row>
    <row r="43" spans="1:9">
      <c r="A43" s="19">
        <v>39</v>
      </c>
      <c r="B43" s="5"/>
      <c r="C43" s="5"/>
      <c r="D43" s="5"/>
      <c r="E43" s="5"/>
      <c r="F43" s="5"/>
      <c r="G43" s="5"/>
      <c r="H43" s="5"/>
      <c r="I43" s="5"/>
    </row>
    <row r="44" spans="1:9">
      <c r="A44" s="19">
        <v>40</v>
      </c>
      <c r="B44" s="5"/>
      <c r="C44" s="5"/>
      <c r="D44" s="5"/>
      <c r="E44" s="5"/>
      <c r="F44" s="5"/>
      <c r="G44" s="5"/>
      <c r="H44" s="5"/>
      <c r="I44" s="5"/>
    </row>
  </sheetData>
  <mergeCells count="2">
    <mergeCell ref="A1:I1"/>
    <mergeCell ref="A2:I2"/>
  </mergeCells>
  <dataValidations count="3">
    <dataValidation type="list" allowBlank="1" sqref="D5:D44">
      <formula1>"ابتدائي,إعدادي,ثانوي"</formula1>
      <formula2>0</formula2>
    </dataValidation>
    <dataValidation type="list" allowBlank="1" sqref="E5:E44">
      <formula1>"بنين,بنات"</formula1>
      <formula2>0</formula2>
    </dataValidation>
    <dataValidation type="list" allowBlank="1" sqref="G5:G44">
      <formula1>"لائق,غير لائق,يحتاج متابعة"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597"/>
    <pageSetUpPr fitToPage="1"/>
  </sheetPr>
  <dimension ref="A1:I34"/>
  <sheetViews>
    <sheetView rightToLeft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I1"/>
    </sheetView>
  </sheetViews>
  <sheetFormatPr defaultColWidth="8.6640625" defaultRowHeight="14.4"/>
  <cols>
    <col min="1" max="1" width="6" customWidth="1"/>
    <col min="2" max="2" width="28" customWidth="1"/>
    <col min="3" max="3" width="20" customWidth="1"/>
    <col min="4" max="4" width="24" customWidth="1"/>
    <col min="5" max="7" width="18" customWidth="1"/>
    <col min="8" max="8" width="22" customWidth="1"/>
    <col min="9" max="9" width="14" customWidth="1"/>
  </cols>
  <sheetData>
    <row r="1" spans="1:9" ht="30" customHeight="1">
      <c r="A1" s="35" t="s">
        <v>154</v>
      </c>
      <c r="B1" s="35"/>
      <c r="C1" s="35"/>
      <c r="D1" s="35"/>
      <c r="E1" s="35"/>
      <c r="F1" s="35"/>
      <c r="G1" s="35"/>
      <c r="H1" s="35"/>
      <c r="I1" s="35"/>
    </row>
    <row r="2" spans="1:9" ht="15" customHeight="1">
      <c r="A2" s="36" t="s">
        <v>57</v>
      </c>
      <c r="B2" s="36"/>
      <c r="C2" s="36"/>
      <c r="D2" s="36"/>
      <c r="E2" s="36"/>
      <c r="F2" s="36"/>
      <c r="G2" s="36"/>
      <c r="H2" s="36"/>
      <c r="I2" s="36"/>
    </row>
    <row r="3" spans="1:9" ht="42" customHeight="1">
      <c r="A3" s="1" t="s">
        <v>2</v>
      </c>
      <c r="B3" s="1" t="s">
        <v>155</v>
      </c>
      <c r="C3" s="1" t="s">
        <v>156</v>
      </c>
      <c r="D3" s="1" t="s">
        <v>157</v>
      </c>
      <c r="E3" s="1" t="s">
        <v>158</v>
      </c>
      <c r="F3" s="1" t="s">
        <v>159</v>
      </c>
      <c r="G3" s="1" t="s">
        <v>160</v>
      </c>
      <c r="H3" s="1" t="s">
        <v>161</v>
      </c>
      <c r="I3" s="1" t="s">
        <v>162</v>
      </c>
    </row>
    <row r="4" spans="1:9">
      <c r="A4" s="7" t="s">
        <v>121</v>
      </c>
      <c r="B4" s="7" t="s">
        <v>163</v>
      </c>
      <c r="C4" s="7" t="s">
        <v>164</v>
      </c>
      <c r="D4" s="7" t="s">
        <v>165</v>
      </c>
      <c r="E4" s="7" t="s">
        <v>166</v>
      </c>
      <c r="F4" s="7" t="s">
        <v>167</v>
      </c>
      <c r="G4" s="7" t="s">
        <v>166</v>
      </c>
      <c r="H4" s="7" t="s">
        <v>168</v>
      </c>
      <c r="I4" s="7"/>
    </row>
    <row r="5" spans="1:9">
      <c r="A5" s="19">
        <v>1</v>
      </c>
      <c r="B5" s="5"/>
      <c r="C5" s="5"/>
      <c r="D5" s="5"/>
      <c r="E5" s="5"/>
      <c r="F5" s="5"/>
      <c r="G5" s="5"/>
      <c r="H5" s="5"/>
      <c r="I5" s="5"/>
    </row>
    <row r="6" spans="1:9">
      <c r="A6" s="19">
        <v>2</v>
      </c>
      <c r="B6" s="5"/>
      <c r="C6" s="5"/>
      <c r="D6" s="5"/>
      <c r="E6" s="5"/>
      <c r="F6" s="5"/>
      <c r="G6" s="5"/>
      <c r="H6" s="5"/>
      <c r="I6" s="5"/>
    </row>
    <row r="7" spans="1:9">
      <c r="A7" s="19">
        <v>3</v>
      </c>
      <c r="B7" s="5"/>
      <c r="C7" s="5"/>
      <c r="D7" s="5"/>
      <c r="E7" s="5"/>
      <c r="F7" s="5"/>
      <c r="G7" s="5"/>
      <c r="H7" s="5"/>
      <c r="I7" s="5"/>
    </row>
    <row r="8" spans="1:9">
      <c r="A8" s="19">
        <v>4</v>
      </c>
      <c r="B8" s="5"/>
      <c r="C8" s="5"/>
      <c r="D8" s="5"/>
      <c r="E8" s="5"/>
      <c r="F8" s="5"/>
      <c r="G8" s="5"/>
      <c r="H8" s="5"/>
      <c r="I8" s="5"/>
    </row>
    <row r="9" spans="1:9">
      <c r="A9" s="19">
        <v>5</v>
      </c>
      <c r="B9" s="5"/>
      <c r="C9" s="5"/>
      <c r="D9" s="5"/>
      <c r="E9" s="5"/>
      <c r="F9" s="5"/>
      <c r="G9" s="5"/>
      <c r="H9" s="5"/>
      <c r="I9" s="5"/>
    </row>
    <row r="10" spans="1:9">
      <c r="A10" s="19">
        <v>6</v>
      </c>
      <c r="B10" s="5"/>
      <c r="C10" s="5"/>
      <c r="D10" s="5"/>
      <c r="E10" s="5"/>
      <c r="F10" s="5"/>
      <c r="G10" s="5"/>
      <c r="H10" s="5"/>
      <c r="I10" s="5"/>
    </row>
    <row r="11" spans="1:9">
      <c r="A11" s="19">
        <v>7</v>
      </c>
      <c r="B11" s="5"/>
      <c r="C11" s="5"/>
      <c r="D11" s="5"/>
      <c r="E11" s="5"/>
      <c r="F11" s="5"/>
      <c r="G11" s="5"/>
      <c r="H11" s="5"/>
      <c r="I11" s="5"/>
    </row>
    <row r="12" spans="1:9">
      <c r="A12" s="19">
        <v>8</v>
      </c>
      <c r="B12" s="5"/>
      <c r="C12" s="5"/>
      <c r="D12" s="5"/>
      <c r="E12" s="5"/>
      <c r="F12" s="5"/>
      <c r="G12" s="5"/>
      <c r="H12" s="5"/>
      <c r="I12" s="5"/>
    </row>
    <row r="13" spans="1:9">
      <c r="A13" s="19">
        <v>9</v>
      </c>
      <c r="B13" s="5"/>
      <c r="C13" s="5"/>
      <c r="D13" s="5"/>
      <c r="E13" s="5"/>
      <c r="F13" s="5"/>
      <c r="G13" s="5"/>
      <c r="H13" s="5"/>
      <c r="I13" s="5"/>
    </row>
    <row r="14" spans="1:9">
      <c r="A14" s="19">
        <v>10</v>
      </c>
      <c r="B14" s="5"/>
      <c r="C14" s="5"/>
      <c r="D14" s="5"/>
      <c r="E14" s="5"/>
      <c r="F14" s="5"/>
      <c r="G14" s="5"/>
      <c r="H14" s="5"/>
      <c r="I14" s="5"/>
    </row>
    <row r="15" spans="1:9">
      <c r="A15" s="19">
        <v>11</v>
      </c>
      <c r="B15" s="5"/>
      <c r="C15" s="5"/>
      <c r="D15" s="5"/>
      <c r="E15" s="5"/>
      <c r="F15" s="5"/>
      <c r="G15" s="5"/>
      <c r="H15" s="5"/>
      <c r="I15" s="5"/>
    </row>
    <row r="16" spans="1:9">
      <c r="A16" s="19">
        <v>12</v>
      </c>
      <c r="B16" s="5"/>
      <c r="C16" s="5"/>
      <c r="D16" s="5"/>
      <c r="E16" s="5"/>
      <c r="F16" s="5"/>
      <c r="G16" s="5"/>
      <c r="H16" s="5"/>
      <c r="I16" s="5"/>
    </row>
    <row r="17" spans="1:9">
      <c r="A17" s="19">
        <v>13</v>
      </c>
      <c r="B17" s="5"/>
      <c r="C17" s="5"/>
      <c r="D17" s="5"/>
      <c r="E17" s="5"/>
      <c r="F17" s="5"/>
      <c r="G17" s="5"/>
      <c r="H17" s="5"/>
      <c r="I17" s="5"/>
    </row>
    <row r="18" spans="1:9">
      <c r="A18" s="19">
        <v>14</v>
      </c>
      <c r="B18" s="5"/>
      <c r="C18" s="5"/>
      <c r="D18" s="5"/>
      <c r="E18" s="5"/>
      <c r="F18" s="5"/>
      <c r="G18" s="5"/>
      <c r="H18" s="5"/>
      <c r="I18" s="5"/>
    </row>
    <row r="19" spans="1:9">
      <c r="A19" s="19">
        <v>15</v>
      </c>
      <c r="B19" s="5"/>
      <c r="C19" s="5"/>
      <c r="D19" s="5"/>
      <c r="E19" s="5"/>
      <c r="F19" s="5"/>
      <c r="G19" s="5"/>
      <c r="H19" s="5"/>
      <c r="I19" s="5"/>
    </row>
    <row r="20" spans="1:9">
      <c r="A20" s="19">
        <v>16</v>
      </c>
      <c r="B20" s="5"/>
      <c r="C20" s="5"/>
      <c r="D20" s="5"/>
      <c r="E20" s="5"/>
      <c r="F20" s="5"/>
      <c r="G20" s="5"/>
      <c r="H20" s="5"/>
      <c r="I20" s="5"/>
    </row>
    <row r="21" spans="1:9">
      <c r="A21" s="19">
        <v>17</v>
      </c>
      <c r="B21" s="5"/>
      <c r="C21" s="5"/>
      <c r="D21" s="5"/>
      <c r="E21" s="5"/>
      <c r="F21" s="5"/>
      <c r="G21" s="5"/>
      <c r="H21" s="5"/>
      <c r="I21" s="5"/>
    </row>
    <row r="22" spans="1:9">
      <c r="A22" s="19">
        <v>18</v>
      </c>
      <c r="B22" s="5"/>
      <c r="C22" s="5"/>
      <c r="D22" s="5"/>
      <c r="E22" s="5"/>
      <c r="F22" s="5"/>
      <c r="G22" s="5"/>
      <c r="H22" s="5"/>
      <c r="I22" s="5"/>
    </row>
    <row r="23" spans="1:9">
      <c r="A23" s="19">
        <v>19</v>
      </c>
      <c r="B23" s="5"/>
      <c r="C23" s="5"/>
      <c r="D23" s="5"/>
      <c r="E23" s="5"/>
      <c r="F23" s="5"/>
      <c r="G23" s="5"/>
      <c r="H23" s="5"/>
      <c r="I23" s="5"/>
    </row>
    <row r="24" spans="1:9">
      <c r="A24" s="19">
        <v>20</v>
      </c>
      <c r="B24" s="5"/>
      <c r="C24" s="5"/>
      <c r="D24" s="5"/>
      <c r="E24" s="5"/>
      <c r="F24" s="5"/>
      <c r="G24" s="5"/>
      <c r="H24" s="5"/>
      <c r="I24" s="5"/>
    </row>
    <row r="25" spans="1:9">
      <c r="A25" s="19">
        <v>21</v>
      </c>
      <c r="B25" s="5"/>
      <c r="C25" s="5"/>
      <c r="D25" s="5"/>
      <c r="E25" s="5"/>
      <c r="F25" s="5"/>
      <c r="G25" s="5"/>
      <c r="H25" s="5"/>
      <c r="I25" s="5"/>
    </row>
    <row r="26" spans="1:9">
      <c r="A26" s="19">
        <v>22</v>
      </c>
      <c r="B26" s="5"/>
      <c r="C26" s="5"/>
      <c r="D26" s="5"/>
      <c r="E26" s="5"/>
      <c r="F26" s="5"/>
      <c r="G26" s="5"/>
      <c r="H26" s="5"/>
      <c r="I26" s="5"/>
    </row>
    <row r="27" spans="1:9">
      <c r="A27" s="19">
        <v>23</v>
      </c>
      <c r="B27" s="5"/>
      <c r="C27" s="5"/>
      <c r="D27" s="5"/>
      <c r="E27" s="5"/>
      <c r="F27" s="5"/>
      <c r="G27" s="5"/>
      <c r="H27" s="5"/>
      <c r="I27" s="5"/>
    </row>
    <row r="28" spans="1:9">
      <c r="A28" s="19">
        <v>24</v>
      </c>
      <c r="B28" s="5"/>
      <c r="C28" s="5"/>
      <c r="D28" s="5"/>
      <c r="E28" s="5"/>
      <c r="F28" s="5"/>
      <c r="G28" s="5"/>
      <c r="H28" s="5"/>
      <c r="I28" s="5"/>
    </row>
    <row r="29" spans="1:9">
      <c r="A29" s="19">
        <v>25</v>
      </c>
      <c r="B29" s="5"/>
      <c r="C29" s="5"/>
      <c r="D29" s="5"/>
      <c r="E29" s="5"/>
      <c r="F29" s="5"/>
      <c r="G29" s="5"/>
      <c r="H29" s="5"/>
      <c r="I29" s="5"/>
    </row>
    <row r="30" spans="1:9">
      <c r="A30" s="19">
        <v>26</v>
      </c>
      <c r="B30" s="5"/>
      <c r="C30" s="5"/>
      <c r="D30" s="5"/>
      <c r="E30" s="5"/>
      <c r="F30" s="5"/>
      <c r="G30" s="5"/>
      <c r="H30" s="5"/>
      <c r="I30" s="5"/>
    </row>
    <row r="31" spans="1:9">
      <c r="A31" s="19">
        <v>27</v>
      </c>
      <c r="B31" s="5"/>
      <c r="C31" s="5"/>
      <c r="D31" s="5"/>
      <c r="E31" s="5"/>
      <c r="F31" s="5"/>
      <c r="G31" s="5"/>
      <c r="H31" s="5"/>
      <c r="I31" s="5"/>
    </row>
    <row r="32" spans="1:9">
      <c r="A32" s="19">
        <v>28</v>
      </c>
      <c r="B32" s="5"/>
      <c r="C32" s="5"/>
      <c r="D32" s="5"/>
      <c r="E32" s="5"/>
      <c r="F32" s="5"/>
      <c r="G32" s="5"/>
      <c r="H32" s="5"/>
      <c r="I32" s="5"/>
    </row>
    <row r="33" spans="1:9">
      <c r="A33" s="19">
        <v>29</v>
      </c>
      <c r="B33" s="5"/>
      <c r="C33" s="5"/>
      <c r="D33" s="5"/>
      <c r="E33" s="5"/>
      <c r="F33" s="5"/>
      <c r="G33" s="5"/>
      <c r="H33" s="5"/>
      <c r="I33" s="5"/>
    </row>
    <row r="34" spans="1:9">
      <c r="A34" s="19">
        <v>30</v>
      </c>
      <c r="B34" s="5"/>
      <c r="C34" s="5"/>
      <c r="D34" s="5"/>
      <c r="E34" s="5"/>
      <c r="F34" s="5"/>
      <c r="G34" s="5"/>
      <c r="H34" s="5"/>
      <c r="I34" s="5"/>
    </row>
  </sheetData>
  <mergeCells count="2">
    <mergeCell ref="A1:I1"/>
    <mergeCell ref="A2:I2"/>
  </mergeCells>
  <dataValidations count="3">
    <dataValidation type="list" allowBlank="1" sqref="B5:B34">
      <formula1>"الجري في المكان,الجلوس من الرقود,الانبطاح المائل,الوثب داخل الدوائر المرقمة,الوثب العريض من الثبات,الجري الزجزاجي,الجري متعدد الجهات,ثني الجذع من الوقوف,الجري الارتدادي,فترات الراحة"</formula1>
      <formula2>0</formula2>
    </dataValidation>
    <dataValidation type="list" allowBlank="1" sqref="C5:C34">
      <formula1>"حكم ميقاتي,حكم للعدد,حكم للقياس,حكم للتسجيل والمراقبة"</formula1>
      <formula2>0</formula2>
    </dataValidation>
    <dataValidation type="list" allowBlank="1" sqref="E5:G34">
      <formula1>"نعم,لا"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  <pageSetUpPr fitToPage="1"/>
  </sheetPr>
  <dimension ref="A1:O57"/>
  <sheetViews>
    <sheetView rightToLeft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O1"/>
    </sheetView>
  </sheetViews>
  <sheetFormatPr defaultColWidth="8.6640625" defaultRowHeight="14.4"/>
  <cols>
    <col min="1" max="1" width="6" customWidth="1"/>
    <col min="2" max="2" width="26" customWidth="1"/>
    <col min="3" max="4" width="9" customWidth="1"/>
    <col min="5" max="5" width="11" customWidth="1"/>
    <col min="6" max="10" width="13" customWidth="1"/>
    <col min="11" max="11" width="24" customWidth="1"/>
    <col min="12" max="12" width="10" customWidth="1"/>
    <col min="13" max="13" width="11" customWidth="1"/>
    <col min="14" max="14" width="13" customWidth="1"/>
    <col min="15" max="15" width="26" customWidth="1"/>
  </cols>
  <sheetData>
    <row r="1" spans="1:15" ht="30" customHeight="1">
      <c r="A1" s="35" t="s">
        <v>169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15" customHeight="1">
      <c r="A2" s="36" t="s">
        <v>57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ht="42" customHeight="1">
      <c r="A3" s="1" t="s">
        <v>2</v>
      </c>
      <c r="B3" s="1" t="s">
        <v>136</v>
      </c>
      <c r="C3" s="1" t="s">
        <v>105</v>
      </c>
      <c r="D3" s="1" t="s">
        <v>137</v>
      </c>
      <c r="E3" s="1" t="s">
        <v>170</v>
      </c>
      <c r="F3" s="1" t="s">
        <v>171</v>
      </c>
      <c r="G3" s="1" t="s">
        <v>172</v>
      </c>
      <c r="H3" s="1" t="s">
        <v>173</v>
      </c>
      <c r="I3" s="1" t="s">
        <v>174</v>
      </c>
      <c r="J3" s="1" t="s">
        <v>175</v>
      </c>
      <c r="K3" s="1" t="s">
        <v>176</v>
      </c>
      <c r="L3" s="1" t="s">
        <v>177</v>
      </c>
      <c r="M3" s="1" t="s">
        <v>178</v>
      </c>
      <c r="N3" s="1" t="s">
        <v>179</v>
      </c>
      <c r="O3" s="1" t="s">
        <v>180</v>
      </c>
    </row>
    <row r="4" spans="1:15">
      <c r="A4" s="7" t="s">
        <v>121</v>
      </c>
      <c r="B4" s="7" t="s">
        <v>122</v>
      </c>
      <c r="C4" s="7" t="s">
        <v>181</v>
      </c>
      <c r="D4" s="7" t="s">
        <v>144</v>
      </c>
      <c r="E4" s="7" t="s">
        <v>166</v>
      </c>
      <c r="F4" s="7" t="s">
        <v>166</v>
      </c>
      <c r="G4" s="7" t="s">
        <v>182</v>
      </c>
      <c r="H4" s="7" t="s">
        <v>167</v>
      </c>
      <c r="I4" s="7" t="s">
        <v>166</v>
      </c>
      <c r="J4" s="7">
        <f t="shared" ref="J4:J35" si="0">IF(COUNTA(F4:I4)=0,"",COUNTIF(F4:I4,"نعم"))</f>
        <v>2</v>
      </c>
      <c r="K4" s="7" t="s">
        <v>183</v>
      </c>
      <c r="L4" s="7" t="s">
        <v>166</v>
      </c>
      <c r="M4" s="7" t="s">
        <v>167</v>
      </c>
      <c r="N4" s="7" t="s">
        <v>184</v>
      </c>
      <c r="O4" s="7"/>
    </row>
    <row r="5" spans="1:15">
      <c r="A5" s="19">
        <v>1</v>
      </c>
      <c r="B5" s="5"/>
      <c r="C5" s="5"/>
      <c r="D5" s="5"/>
      <c r="E5" s="5"/>
      <c r="F5" s="5"/>
      <c r="G5" s="5"/>
      <c r="H5" s="5"/>
      <c r="I5" s="5"/>
      <c r="J5" s="4" t="str">
        <f t="shared" si="0"/>
        <v/>
      </c>
      <c r="K5" s="5"/>
      <c r="L5" s="5"/>
      <c r="M5" s="5"/>
      <c r="N5" s="5"/>
      <c r="O5" s="5"/>
    </row>
    <row r="6" spans="1:15">
      <c r="A6" s="19">
        <v>2</v>
      </c>
      <c r="B6" s="5"/>
      <c r="C6" s="5"/>
      <c r="D6" s="5"/>
      <c r="E6" s="5"/>
      <c r="F6" s="5"/>
      <c r="G6" s="5"/>
      <c r="H6" s="5"/>
      <c r="I6" s="5"/>
      <c r="J6" s="4" t="str">
        <f t="shared" si="0"/>
        <v/>
      </c>
      <c r="K6" s="5"/>
      <c r="L6" s="5"/>
      <c r="M6" s="5"/>
      <c r="N6" s="5"/>
      <c r="O6" s="5"/>
    </row>
    <row r="7" spans="1:15">
      <c r="A7" s="19">
        <v>3</v>
      </c>
      <c r="B7" s="5"/>
      <c r="C7" s="5"/>
      <c r="D7" s="5"/>
      <c r="E7" s="5"/>
      <c r="F7" s="5"/>
      <c r="G7" s="5"/>
      <c r="H7" s="5"/>
      <c r="I7" s="5"/>
      <c r="J7" s="4" t="str">
        <f t="shared" si="0"/>
        <v/>
      </c>
      <c r="K7" s="5"/>
      <c r="L7" s="5"/>
      <c r="M7" s="5"/>
      <c r="N7" s="5"/>
      <c r="O7" s="5"/>
    </row>
    <row r="8" spans="1:15">
      <c r="A8" s="19">
        <v>4</v>
      </c>
      <c r="B8" s="5"/>
      <c r="C8" s="5"/>
      <c r="D8" s="5"/>
      <c r="E8" s="5"/>
      <c r="F8" s="5"/>
      <c r="G8" s="5"/>
      <c r="H8" s="5"/>
      <c r="I8" s="5"/>
      <c r="J8" s="4" t="str">
        <f t="shared" si="0"/>
        <v/>
      </c>
      <c r="K8" s="5"/>
      <c r="L8" s="5"/>
      <c r="M8" s="5"/>
      <c r="N8" s="5"/>
      <c r="O8" s="5"/>
    </row>
    <row r="9" spans="1:15">
      <c r="A9" s="19">
        <v>5</v>
      </c>
      <c r="B9" s="5"/>
      <c r="C9" s="5"/>
      <c r="D9" s="5"/>
      <c r="E9" s="5"/>
      <c r="F9" s="5"/>
      <c r="G9" s="5"/>
      <c r="H9" s="5"/>
      <c r="I9" s="5"/>
      <c r="J9" s="4" t="str">
        <f t="shared" si="0"/>
        <v/>
      </c>
      <c r="K9" s="5"/>
      <c r="L9" s="5"/>
      <c r="M9" s="5"/>
      <c r="N9" s="5"/>
      <c r="O9" s="5"/>
    </row>
    <row r="10" spans="1:15">
      <c r="A10" s="19">
        <v>6</v>
      </c>
      <c r="B10" s="5"/>
      <c r="C10" s="5"/>
      <c r="D10" s="5"/>
      <c r="E10" s="5"/>
      <c r="F10" s="5"/>
      <c r="G10" s="5"/>
      <c r="H10" s="5"/>
      <c r="I10" s="5"/>
      <c r="J10" s="4" t="str">
        <f t="shared" si="0"/>
        <v/>
      </c>
      <c r="K10" s="5"/>
      <c r="L10" s="5"/>
      <c r="M10" s="5"/>
      <c r="N10" s="5"/>
      <c r="O10" s="5"/>
    </row>
    <row r="11" spans="1:15">
      <c r="A11" s="19">
        <v>7</v>
      </c>
      <c r="B11" s="5"/>
      <c r="C11" s="5"/>
      <c r="D11" s="5"/>
      <c r="E11" s="5"/>
      <c r="F11" s="5"/>
      <c r="G11" s="5"/>
      <c r="H11" s="5"/>
      <c r="I11" s="5"/>
      <c r="J11" s="4" t="str">
        <f t="shared" si="0"/>
        <v/>
      </c>
      <c r="K11" s="5"/>
      <c r="L11" s="5"/>
      <c r="M11" s="5"/>
      <c r="N11" s="5"/>
      <c r="O11" s="5"/>
    </row>
    <row r="12" spans="1:15">
      <c r="A12" s="19">
        <v>8</v>
      </c>
      <c r="B12" s="5"/>
      <c r="C12" s="5"/>
      <c r="D12" s="5"/>
      <c r="E12" s="5"/>
      <c r="F12" s="5"/>
      <c r="G12" s="5"/>
      <c r="H12" s="5"/>
      <c r="I12" s="5"/>
      <c r="J12" s="4" t="str">
        <f t="shared" si="0"/>
        <v/>
      </c>
      <c r="K12" s="5"/>
      <c r="L12" s="5"/>
      <c r="M12" s="5"/>
      <c r="N12" s="5"/>
      <c r="O12" s="5"/>
    </row>
    <row r="13" spans="1:15">
      <c r="A13" s="19">
        <v>9</v>
      </c>
      <c r="B13" s="5"/>
      <c r="C13" s="5"/>
      <c r="D13" s="5"/>
      <c r="E13" s="5"/>
      <c r="F13" s="5"/>
      <c r="G13" s="5"/>
      <c r="H13" s="5"/>
      <c r="I13" s="5"/>
      <c r="J13" s="4" t="str">
        <f t="shared" si="0"/>
        <v/>
      </c>
      <c r="K13" s="5"/>
      <c r="L13" s="5"/>
      <c r="M13" s="5"/>
      <c r="N13" s="5"/>
      <c r="O13" s="5"/>
    </row>
    <row r="14" spans="1:15">
      <c r="A14" s="19">
        <v>10</v>
      </c>
      <c r="B14" s="5"/>
      <c r="C14" s="5"/>
      <c r="D14" s="5"/>
      <c r="E14" s="5"/>
      <c r="F14" s="5"/>
      <c r="G14" s="5"/>
      <c r="H14" s="5"/>
      <c r="I14" s="5"/>
      <c r="J14" s="4" t="str">
        <f t="shared" si="0"/>
        <v/>
      </c>
      <c r="K14" s="5"/>
      <c r="L14" s="5"/>
      <c r="M14" s="5"/>
      <c r="N14" s="5"/>
      <c r="O14" s="5"/>
    </row>
    <row r="15" spans="1:15">
      <c r="A15" s="19">
        <v>11</v>
      </c>
      <c r="B15" s="5"/>
      <c r="C15" s="5"/>
      <c r="D15" s="5"/>
      <c r="E15" s="5"/>
      <c r="F15" s="5"/>
      <c r="G15" s="5"/>
      <c r="H15" s="5"/>
      <c r="I15" s="5"/>
      <c r="J15" s="4" t="str">
        <f t="shared" si="0"/>
        <v/>
      </c>
      <c r="K15" s="5"/>
      <c r="L15" s="5"/>
      <c r="M15" s="5"/>
      <c r="N15" s="5"/>
      <c r="O15" s="5"/>
    </row>
    <row r="16" spans="1:15">
      <c r="A16" s="19">
        <v>12</v>
      </c>
      <c r="B16" s="5"/>
      <c r="C16" s="5"/>
      <c r="D16" s="5"/>
      <c r="E16" s="5"/>
      <c r="F16" s="5"/>
      <c r="G16" s="5"/>
      <c r="H16" s="5"/>
      <c r="I16" s="5"/>
      <c r="J16" s="4" t="str">
        <f t="shared" si="0"/>
        <v/>
      </c>
      <c r="K16" s="5"/>
      <c r="L16" s="5"/>
      <c r="M16" s="5"/>
      <c r="N16" s="5"/>
      <c r="O16" s="5"/>
    </row>
    <row r="17" spans="1:15">
      <c r="A17" s="19">
        <v>13</v>
      </c>
      <c r="B17" s="5"/>
      <c r="C17" s="5"/>
      <c r="D17" s="5"/>
      <c r="E17" s="5"/>
      <c r="F17" s="5"/>
      <c r="G17" s="5"/>
      <c r="H17" s="5"/>
      <c r="I17" s="5"/>
      <c r="J17" s="4" t="str">
        <f t="shared" si="0"/>
        <v/>
      </c>
      <c r="K17" s="5"/>
      <c r="L17" s="5"/>
      <c r="M17" s="5"/>
      <c r="N17" s="5"/>
      <c r="O17" s="5"/>
    </row>
    <row r="18" spans="1:15">
      <c r="A18" s="19">
        <v>14</v>
      </c>
      <c r="B18" s="5"/>
      <c r="C18" s="5"/>
      <c r="D18" s="5"/>
      <c r="E18" s="5"/>
      <c r="F18" s="5"/>
      <c r="G18" s="5"/>
      <c r="H18" s="5"/>
      <c r="I18" s="5"/>
      <c r="J18" s="4" t="str">
        <f t="shared" si="0"/>
        <v/>
      </c>
      <c r="K18" s="5"/>
      <c r="L18" s="5"/>
      <c r="M18" s="5"/>
      <c r="N18" s="5"/>
      <c r="O18" s="5"/>
    </row>
    <row r="19" spans="1:15">
      <c r="A19" s="19">
        <v>15</v>
      </c>
      <c r="B19" s="5"/>
      <c r="C19" s="5"/>
      <c r="D19" s="5"/>
      <c r="E19" s="5"/>
      <c r="F19" s="5"/>
      <c r="G19" s="5"/>
      <c r="H19" s="5"/>
      <c r="I19" s="5"/>
      <c r="J19" s="4" t="str">
        <f t="shared" si="0"/>
        <v/>
      </c>
      <c r="K19" s="5"/>
      <c r="L19" s="5"/>
      <c r="M19" s="5"/>
      <c r="N19" s="5"/>
      <c r="O19" s="5"/>
    </row>
    <row r="20" spans="1:15">
      <c r="A20" s="19">
        <v>16</v>
      </c>
      <c r="B20" s="5"/>
      <c r="C20" s="5"/>
      <c r="D20" s="5"/>
      <c r="E20" s="5"/>
      <c r="F20" s="5"/>
      <c r="G20" s="5"/>
      <c r="H20" s="5"/>
      <c r="I20" s="5"/>
      <c r="J20" s="4" t="str">
        <f t="shared" si="0"/>
        <v/>
      </c>
      <c r="K20" s="5"/>
      <c r="L20" s="5"/>
      <c r="M20" s="5"/>
      <c r="N20" s="5"/>
      <c r="O20" s="5"/>
    </row>
    <row r="21" spans="1:15">
      <c r="A21" s="19">
        <v>17</v>
      </c>
      <c r="B21" s="5"/>
      <c r="C21" s="5"/>
      <c r="D21" s="5"/>
      <c r="E21" s="5"/>
      <c r="F21" s="5"/>
      <c r="G21" s="5"/>
      <c r="H21" s="5"/>
      <c r="I21" s="5"/>
      <c r="J21" s="4" t="str">
        <f t="shared" si="0"/>
        <v/>
      </c>
      <c r="K21" s="5"/>
      <c r="L21" s="5"/>
      <c r="M21" s="5"/>
      <c r="N21" s="5"/>
      <c r="O21" s="5"/>
    </row>
    <row r="22" spans="1:15">
      <c r="A22" s="19">
        <v>18</v>
      </c>
      <c r="B22" s="5"/>
      <c r="C22" s="5"/>
      <c r="D22" s="5"/>
      <c r="E22" s="5"/>
      <c r="F22" s="5"/>
      <c r="G22" s="5"/>
      <c r="H22" s="5"/>
      <c r="I22" s="5"/>
      <c r="J22" s="4" t="str">
        <f t="shared" si="0"/>
        <v/>
      </c>
      <c r="K22" s="5"/>
      <c r="L22" s="5"/>
      <c r="M22" s="5"/>
      <c r="N22" s="5"/>
      <c r="O22" s="5"/>
    </row>
    <row r="23" spans="1:15">
      <c r="A23" s="19">
        <v>19</v>
      </c>
      <c r="B23" s="5"/>
      <c r="C23" s="5"/>
      <c r="D23" s="5"/>
      <c r="E23" s="5"/>
      <c r="F23" s="5"/>
      <c r="G23" s="5"/>
      <c r="H23" s="5"/>
      <c r="I23" s="5"/>
      <c r="J23" s="4" t="str">
        <f t="shared" si="0"/>
        <v/>
      </c>
      <c r="K23" s="5"/>
      <c r="L23" s="5"/>
      <c r="M23" s="5"/>
      <c r="N23" s="5"/>
      <c r="O23" s="5"/>
    </row>
    <row r="24" spans="1:15">
      <c r="A24" s="19">
        <v>20</v>
      </c>
      <c r="B24" s="5"/>
      <c r="C24" s="5"/>
      <c r="D24" s="5"/>
      <c r="E24" s="5"/>
      <c r="F24" s="5"/>
      <c r="G24" s="5"/>
      <c r="H24" s="5"/>
      <c r="I24" s="5"/>
      <c r="J24" s="4" t="str">
        <f t="shared" si="0"/>
        <v/>
      </c>
      <c r="K24" s="5"/>
      <c r="L24" s="5"/>
      <c r="M24" s="5"/>
      <c r="N24" s="5"/>
      <c r="O24" s="5"/>
    </row>
    <row r="25" spans="1:15">
      <c r="A25" s="19">
        <v>21</v>
      </c>
      <c r="B25" s="5"/>
      <c r="C25" s="5"/>
      <c r="D25" s="5"/>
      <c r="E25" s="5"/>
      <c r="F25" s="5"/>
      <c r="G25" s="5"/>
      <c r="H25" s="5"/>
      <c r="I25" s="5"/>
      <c r="J25" s="4" t="str">
        <f t="shared" si="0"/>
        <v/>
      </c>
      <c r="K25" s="5"/>
      <c r="L25" s="5"/>
      <c r="M25" s="5"/>
      <c r="N25" s="5"/>
      <c r="O25" s="5"/>
    </row>
    <row r="26" spans="1:15">
      <c r="A26" s="19">
        <v>22</v>
      </c>
      <c r="B26" s="5"/>
      <c r="C26" s="5"/>
      <c r="D26" s="5"/>
      <c r="E26" s="5"/>
      <c r="F26" s="5"/>
      <c r="G26" s="5"/>
      <c r="H26" s="5"/>
      <c r="I26" s="5"/>
      <c r="J26" s="4" t="str">
        <f t="shared" si="0"/>
        <v/>
      </c>
      <c r="K26" s="5"/>
      <c r="L26" s="5"/>
      <c r="M26" s="5"/>
      <c r="N26" s="5"/>
      <c r="O26" s="5"/>
    </row>
    <row r="27" spans="1:15">
      <c r="A27" s="19">
        <v>23</v>
      </c>
      <c r="B27" s="5"/>
      <c r="C27" s="5"/>
      <c r="D27" s="5"/>
      <c r="E27" s="5"/>
      <c r="F27" s="5"/>
      <c r="G27" s="5"/>
      <c r="H27" s="5"/>
      <c r="I27" s="5"/>
      <c r="J27" s="4" t="str">
        <f t="shared" si="0"/>
        <v/>
      </c>
      <c r="K27" s="5"/>
      <c r="L27" s="5"/>
      <c r="M27" s="5"/>
      <c r="N27" s="5"/>
      <c r="O27" s="5"/>
    </row>
    <row r="28" spans="1:15">
      <c r="A28" s="19">
        <v>24</v>
      </c>
      <c r="B28" s="5"/>
      <c r="C28" s="5"/>
      <c r="D28" s="5"/>
      <c r="E28" s="5"/>
      <c r="F28" s="5"/>
      <c r="G28" s="5"/>
      <c r="H28" s="5"/>
      <c r="I28" s="5"/>
      <c r="J28" s="4" t="str">
        <f t="shared" si="0"/>
        <v/>
      </c>
      <c r="K28" s="5"/>
      <c r="L28" s="5"/>
      <c r="M28" s="5"/>
      <c r="N28" s="5"/>
      <c r="O28" s="5"/>
    </row>
    <row r="29" spans="1:15">
      <c r="A29" s="19">
        <v>25</v>
      </c>
      <c r="B29" s="5"/>
      <c r="C29" s="5"/>
      <c r="D29" s="5"/>
      <c r="E29" s="5"/>
      <c r="F29" s="5"/>
      <c r="G29" s="5"/>
      <c r="H29" s="5"/>
      <c r="I29" s="5"/>
      <c r="J29" s="4" t="str">
        <f t="shared" si="0"/>
        <v/>
      </c>
      <c r="K29" s="5"/>
      <c r="L29" s="5"/>
      <c r="M29" s="5"/>
      <c r="N29" s="5"/>
      <c r="O29" s="5"/>
    </row>
    <row r="30" spans="1:15">
      <c r="A30" s="19">
        <v>26</v>
      </c>
      <c r="B30" s="5"/>
      <c r="C30" s="5"/>
      <c r="D30" s="5"/>
      <c r="E30" s="5"/>
      <c r="F30" s="5"/>
      <c r="G30" s="5"/>
      <c r="H30" s="5"/>
      <c r="I30" s="5"/>
      <c r="J30" s="4" t="str">
        <f t="shared" si="0"/>
        <v/>
      </c>
      <c r="K30" s="5"/>
      <c r="L30" s="5"/>
      <c r="M30" s="5"/>
      <c r="N30" s="5"/>
      <c r="O30" s="5"/>
    </row>
    <row r="31" spans="1:15">
      <c r="A31" s="19">
        <v>27</v>
      </c>
      <c r="B31" s="5"/>
      <c r="C31" s="5"/>
      <c r="D31" s="5"/>
      <c r="E31" s="5"/>
      <c r="F31" s="5"/>
      <c r="G31" s="5"/>
      <c r="H31" s="5"/>
      <c r="I31" s="5"/>
      <c r="J31" s="4" t="str">
        <f t="shared" si="0"/>
        <v/>
      </c>
      <c r="K31" s="5"/>
      <c r="L31" s="5"/>
      <c r="M31" s="5"/>
      <c r="N31" s="5"/>
      <c r="O31" s="5"/>
    </row>
    <row r="32" spans="1:15">
      <c r="A32" s="19">
        <v>28</v>
      </c>
      <c r="B32" s="5"/>
      <c r="C32" s="5"/>
      <c r="D32" s="5"/>
      <c r="E32" s="5"/>
      <c r="F32" s="5"/>
      <c r="G32" s="5"/>
      <c r="H32" s="5"/>
      <c r="I32" s="5"/>
      <c r="J32" s="4" t="str">
        <f t="shared" si="0"/>
        <v/>
      </c>
      <c r="K32" s="5"/>
      <c r="L32" s="5"/>
      <c r="M32" s="5"/>
      <c r="N32" s="5"/>
      <c r="O32" s="5"/>
    </row>
    <row r="33" spans="1:15">
      <c r="A33" s="19">
        <v>29</v>
      </c>
      <c r="B33" s="5"/>
      <c r="C33" s="5"/>
      <c r="D33" s="5"/>
      <c r="E33" s="5"/>
      <c r="F33" s="5"/>
      <c r="G33" s="5"/>
      <c r="H33" s="5"/>
      <c r="I33" s="5"/>
      <c r="J33" s="4" t="str">
        <f t="shared" si="0"/>
        <v/>
      </c>
      <c r="K33" s="5"/>
      <c r="L33" s="5"/>
      <c r="M33" s="5"/>
      <c r="N33" s="5"/>
      <c r="O33" s="5"/>
    </row>
    <row r="34" spans="1:15">
      <c r="A34" s="19">
        <v>30</v>
      </c>
      <c r="B34" s="5"/>
      <c r="C34" s="5"/>
      <c r="D34" s="5"/>
      <c r="E34" s="5"/>
      <c r="F34" s="5"/>
      <c r="G34" s="5"/>
      <c r="H34" s="5"/>
      <c r="I34" s="5"/>
      <c r="J34" s="4" t="str">
        <f t="shared" si="0"/>
        <v/>
      </c>
      <c r="K34" s="5"/>
      <c r="L34" s="5"/>
      <c r="M34" s="5"/>
      <c r="N34" s="5"/>
      <c r="O34" s="5"/>
    </row>
    <row r="35" spans="1:15">
      <c r="A35" s="19">
        <v>31</v>
      </c>
      <c r="B35" s="5"/>
      <c r="C35" s="5"/>
      <c r="D35" s="5"/>
      <c r="E35" s="5"/>
      <c r="F35" s="5"/>
      <c r="G35" s="5"/>
      <c r="H35" s="5"/>
      <c r="I35" s="5"/>
      <c r="J35" s="4" t="str">
        <f t="shared" si="0"/>
        <v/>
      </c>
      <c r="K35" s="5"/>
      <c r="L35" s="5"/>
      <c r="M35" s="5"/>
      <c r="N35" s="5"/>
      <c r="O35" s="5"/>
    </row>
    <row r="36" spans="1:15">
      <c r="A36" s="19">
        <v>32</v>
      </c>
      <c r="B36" s="5"/>
      <c r="C36" s="5"/>
      <c r="D36" s="5"/>
      <c r="E36" s="5"/>
      <c r="F36" s="5"/>
      <c r="G36" s="5"/>
      <c r="H36" s="5"/>
      <c r="I36" s="5"/>
      <c r="J36" s="4" t="str">
        <f t="shared" ref="J36:J54" si="1">IF(COUNTA(F36:I36)=0,"",COUNTIF(F36:I36,"نعم"))</f>
        <v/>
      </c>
      <c r="K36" s="5"/>
      <c r="L36" s="5"/>
      <c r="M36" s="5"/>
      <c r="N36" s="5"/>
      <c r="O36" s="5"/>
    </row>
    <row r="37" spans="1:15">
      <c r="A37" s="19">
        <v>33</v>
      </c>
      <c r="B37" s="5"/>
      <c r="C37" s="5"/>
      <c r="D37" s="5"/>
      <c r="E37" s="5"/>
      <c r="F37" s="5"/>
      <c r="G37" s="5"/>
      <c r="H37" s="5"/>
      <c r="I37" s="5"/>
      <c r="J37" s="4" t="str">
        <f t="shared" si="1"/>
        <v/>
      </c>
      <c r="K37" s="5"/>
      <c r="L37" s="5"/>
      <c r="M37" s="5"/>
      <c r="N37" s="5"/>
      <c r="O37" s="5"/>
    </row>
    <row r="38" spans="1:15">
      <c r="A38" s="19">
        <v>34</v>
      </c>
      <c r="B38" s="5"/>
      <c r="C38" s="5"/>
      <c r="D38" s="5"/>
      <c r="E38" s="5"/>
      <c r="F38" s="5"/>
      <c r="G38" s="5"/>
      <c r="H38" s="5"/>
      <c r="I38" s="5"/>
      <c r="J38" s="4" t="str">
        <f t="shared" si="1"/>
        <v/>
      </c>
      <c r="K38" s="5"/>
      <c r="L38" s="5"/>
      <c r="M38" s="5"/>
      <c r="N38" s="5"/>
      <c r="O38" s="5"/>
    </row>
    <row r="39" spans="1:15">
      <c r="A39" s="19">
        <v>35</v>
      </c>
      <c r="B39" s="5"/>
      <c r="C39" s="5"/>
      <c r="D39" s="5"/>
      <c r="E39" s="5"/>
      <c r="F39" s="5"/>
      <c r="G39" s="5"/>
      <c r="H39" s="5"/>
      <c r="I39" s="5"/>
      <c r="J39" s="4" t="str">
        <f t="shared" si="1"/>
        <v/>
      </c>
      <c r="K39" s="5"/>
      <c r="L39" s="5"/>
      <c r="M39" s="5"/>
      <c r="N39" s="5"/>
      <c r="O39" s="5"/>
    </row>
    <row r="40" spans="1:15">
      <c r="A40" s="19">
        <v>36</v>
      </c>
      <c r="B40" s="5"/>
      <c r="C40" s="5"/>
      <c r="D40" s="5"/>
      <c r="E40" s="5"/>
      <c r="F40" s="5"/>
      <c r="G40" s="5"/>
      <c r="H40" s="5"/>
      <c r="I40" s="5"/>
      <c r="J40" s="4" t="str">
        <f t="shared" si="1"/>
        <v/>
      </c>
      <c r="K40" s="5"/>
      <c r="L40" s="5"/>
      <c r="M40" s="5"/>
      <c r="N40" s="5"/>
      <c r="O40" s="5"/>
    </row>
    <row r="41" spans="1:15">
      <c r="A41" s="19">
        <v>37</v>
      </c>
      <c r="B41" s="5"/>
      <c r="C41" s="5"/>
      <c r="D41" s="5"/>
      <c r="E41" s="5"/>
      <c r="F41" s="5"/>
      <c r="G41" s="5"/>
      <c r="H41" s="5"/>
      <c r="I41" s="5"/>
      <c r="J41" s="4" t="str">
        <f t="shared" si="1"/>
        <v/>
      </c>
      <c r="K41" s="5"/>
      <c r="L41" s="5"/>
      <c r="M41" s="5"/>
      <c r="N41" s="5"/>
      <c r="O41" s="5"/>
    </row>
    <row r="42" spans="1:15">
      <c r="A42" s="19">
        <v>38</v>
      </c>
      <c r="B42" s="5"/>
      <c r="C42" s="5"/>
      <c r="D42" s="5"/>
      <c r="E42" s="5"/>
      <c r="F42" s="5"/>
      <c r="G42" s="5"/>
      <c r="H42" s="5"/>
      <c r="I42" s="5"/>
      <c r="J42" s="4" t="str">
        <f t="shared" si="1"/>
        <v/>
      </c>
      <c r="K42" s="5"/>
      <c r="L42" s="5"/>
      <c r="M42" s="5"/>
      <c r="N42" s="5"/>
      <c r="O42" s="5"/>
    </row>
    <row r="43" spans="1:15">
      <c r="A43" s="19">
        <v>39</v>
      </c>
      <c r="B43" s="5"/>
      <c r="C43" s="5"/>
      <c r="D43" s="5"/>
      <c r="E43" s="5"/>
      <c r="F43" s="5"/>
      <c r="G43" s="5"/>
      <c r="H43" s="5"/>
      <c r="I43" s="5"/>
      <c r="J43" s="4" t="str">
        <f t="shared" si="1"/>
        <v/>
      </c>
      <c r="K43" s="5"/>
      <c r="L43" s="5"/>
      <c r="M43" s="5"/>
      <c r="N43" s="5"/>
      <c r="O43" s="5"/>
    </row>
    <row r="44" spans="1:15">
      <c r="A44" s="19">
        <v>40</v>
      </c>
      <c r="B44" s="5"/>
      <c r="C44" s="5"/>
      <c r="D44" s="5"/>
      <c r="E44" s="5"/>
      <c r="F44" s="5"/>
      <c r="G44" s="5"/>
      <c r="H44" s="5"/>
      <c r="I44" s="5"/>
      <c r="J44" s="4" t="str">
        <f t="shared" si="1"/>
        <v/>
      </c>
      <c r="K44" s="5"/>
      <c r="L44" s="5"/>
      <c r="M44" s="5"/>
      <c r="N44" s="5"/>
      <c r="O44" s="5"/>
    </row>
    <row r="45" spans="1:15">
      <c r="A45" s="19">
        <v>41</v>
      </c>
      <c r="B45" s="5"/>
      <c r="C45" s="5"/>
      <c r="D45" s="5"/>
      <c r="E45" s="5"/>
      <c r="F45" s="5"/>
      <c r="G45" s="5"/>
      <c r="H45" s="5"/>
      <c r="I45" s="5"/>
      <c r="J45" s="4" t="str">
        <f t="shared" si="1"/>
        <v/>
      </c>
      <c r="K45" s="5"/>
      <c r="L45" s="5"/>
      <c r="M45" s="5"/>
      <c r="N45" s="5"/>
      <c r="O45" s="5"/>
    </row>
    <row r="46" spans="1:15">
      <c r="A46" s="19">
        <v>42</v>
      </c>
      <c r="B46" s="5"/>
      <c r="C46" s="5"/>
      <c r="D46" s="5"/>
      <c r="E46" s="5"/>
      <c r="F46" s="5"/>
      <c r="G46" s="5"/>
      <c r="H46" s="5"/>
      <c r="I46" s="5"/>
      <c r="J46" s="4" t="str">
        <f t="shared" si="1"/>
        <v/>
      </c>
      <c r="K46" s="5"/>
      <c r="L46" s="5"/>
      <c r="M46" s="5"/>
      <c r="N46" s="5"/>
      <c r="O46" s="5"/>
    </row>
    <row r="47" spans="1:15">
      <c r="A47" s="19">
        <v>43</v>
      </c>
      <c r="B47" s="5"/>
      <c r="C47" s="5"/>
      <c r="D47" s="5"/>
      <c r="E47" s="5"/>
      <c r="F47" s="5"/>
      <c r="G47" s="5"/>
      <c r="H47" s="5"/>
      <c r="I47" s="5"/>
      <c r="J47" s="4" t="str">
        <f t="shared" si="1"/>
        <v/>
      </c>
      <c r="K47" s="5"/>
      <c r="L47" s="5"/>
      <c r="M47" s="5"/>
      <c r="N47" s="5"/>
      <c r="O47" s="5"/>
    </row>
    <row r="48" spans="1:15">
      <c r="A48" s="19">
        <v>44</v>
      </c>
      <c r="B48" s="5"/>
      <c r="C48" s="5"/>
      <c r="D48" s="5"/>
      <c r="E48" s="5"/>
      <c r="F48" s="5"/>
      <c r="G48" s="5"/>
      <c r="H48" s="5"/>
      <c r="I48" s="5"/>
      <c r="J48" s="4" t="str">
        <f t="shared" si="1"/>
        <v/>
      </c>
      <c r="K48" s="5"/>
      <c r="L48" s="5"/>
      <c r="M48" s="5"/>
      <c r="N48" s="5"/>
      <c r="O48" s="5"/>
    </row>
    <row r="49" spans="1:15">
      <c r="A49" s="19">
        <v>45</v>
      </c>
      <c r="B49" s="5"/>
      <c r="C49" s="5"/>
      <c r="D49" s="5"/>
      <c r="E49" s="5"/>
      <c r="F49" s="5"/>
      <c r="G49" s="5"/>
      <c r="H49" s="5"/>
      <c r="I49" s="5"/>
      <c r="J49" s="4" t="str">
        <f t="shared" si="1"/>
        <v/>
      </c>
      <c r="K49" s="5"/>
      <c r="L49" s="5"/>
      <c r="M49" s="5"/>
      <c r="N49" s="5"/>
      <c r="O49" s="5"/>
    </row>
    <row r="50" spans="1:15">
      <c r="A50" s="19">
        <v>46</v>
      </c>
      <c r="B50" s="5"/>
      <c r="C50" s="5"/>
      <c r="D50" s="5"/>
      <c r="E50" s="5"/>
      <c r="F50" s="5"/>
      <c r="G50" s="5"/>
      <c r="H50" s="5"/>
      <c r="I50" s="5"/>
      <c r="J50" s="4" t="str">
        <f t="shared" si="1"/>
        <v/>
      </c>
      <c r="K50" s="5"/>
      <c r="L50" s="5"/>
      <c r="M50" s="5"/>
      <c r="N50" s="5"/>
      <c r="O50" s="5"/>
    </row>
    <row r="51" spans="1:15">
      <c r="A51" s="19">
        <v>47</v>
      </c>
      <c r="B51" s="5"/>
      <c r="C51" s="5"/>
      <c r="D51" s="5"/>
      <c r="E51" s="5"/>
      <c r="F51" s="5"/>
      <c r="G51" s="5"/>
      <c r="H51" s="5"/>
      <c r="I51" s="5"/>
      <c r="J51" s="4" t="str">
        <f t="shared" si="1"/>
        <v/>
      </c>
      <c r="K51" s="5"/>
      <c r="L51" s="5"/>
      <c r="M51" s="5"/>
      <c r="N51" s="5"/>
      <c r="O51" s="5"/>
    </row>
    <row r="52" spans="1:15">
      <c r="A52" s="19">
        <v>48</v>
      </c>
      <c r="B52" s="5"/>
      <c r="C52" s="5"/>
      <c r="D52" s="5"/>
      <c r="E52" s="5"/>
      <c r="F52" s="5"/>
      <c r="G52" s="5"/>
      <c r="H52" s="5"/>
      <c r="I52" s="5"/>
      <c r="J52" s="4" t="str">
        <f t="shared" si="1"/>
        <v/>
      </c>
      <c r="K52" s="5"/>
      <c r="L52" s="5"/>
      <c r="M52" s="5"/>
      <c r="N52" s="5"/>
      <c r="O52" s="5"/>
    </row>
    <row r="53" spans="1:15">
      <c r="A53" s="19">
        <v>49</v>
      </c>
      <c r="B53" s="5"/>
      <c r="C53" s="5"/>
      <c r="D53" s="5"/>
      <c r="E53" s="5"/>
      <c r="F53" s="5"/>
      <c r="G53" s="5"/>
      <c r="H53" s="5"/>
      <c r="I53" s="5"/>
      <c r="J53" s="4" t="str">
        <f t="shared" si="1"/>
        <v/>
      </c>
      <c r="K53" s="5"/>
      <c r="L53" s="5"/>
      <c r="M53" s="5"/>
      <c r="N53" s="5"/>
      <c r="O53" s="5"/>
    </row>
    <row r="54" spans="1:15">
      <c r="A54" s="19">
        <v>50</v>
      </c>
      <c r="B54" s="5"/>
      <c r="C54" s="5"/>
      <c r="D54" s="5"/>
      <c r="E54" s="5"/>
      <c r="F54" s="5"/>
      <c r="G54" s="5"/>
      <c r="H54" s="5"/>
      <c r="I54" s="5"/>
      <c r="J54" s="4" t="str">
        <f t="shared" si="1"/>
        <v/>
      </c>
      <c r="K54" s="5"/>
      <c r="L54" s="5"/>
      <c r="M54" s="5"/>
      <c r="N54" s="5"/>
      <c r="O54" s="5"/>
    </row>
    <row r="55" spans="1:15" ht="27.6">
      <c r="A55" s="2" t="s">
        <v>185</v>
      </c>
      <c r="B55" s="19"/>
      <c r="C55" s="19"/>
      <c r="D55" s="19"/>
      <c r="E55" s="2">
        <f>COUNTIF(E5:E54,"نعم")</f>
        <v>0</v>
      </c>
      <c r="F55" s="19"/>
      <c r="G55" s="19"/>
      <c r="H55" s="19"/>
      <c r="I55" s="19"/>
      <c r="J55" s="2">
        <f>SUM(J5:J54)</f>
        <v>0</v>
      </c>
      <c r="K55" s="19"/>
      <c r="L55" s="2">
        <f>COUNTIF(L5:L54,"نعم")</f>
        <v>0</v>
      </c>
      <c r="M55" s="2">
        <f>COUNTIF(M5:M54,"نعم")</f>
        <v>0</v>
      </c>
      <c r="N55" s="19"/>
      <c r="O55" s="19"/>
    </row>
    <row r="57" spans="1:15" ht="15" customHeight="1">
      <c r="A57" s="44" t="s">
        <v>186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</row>
  </sheetData>
  <mergeCells count="3">
    <mergeCell ref="A1:O1"/>
    <mergeCell ref="A2:O2"/>
    <mergeCell ref="A57:O57"/>
  </mergeCells>
  <dataValidations count="4">
    <dataValidation type="list" allowBlank="1" sqref="C5:C54">
      <formula1>"الأول,الثاني,الثالث"</formula1>
      <formula2>0</formula2>
    </dataValidation>
    <dataValidation type="list" allowBlank="1" sqref="D5:D54">
      <formula1>"بنين,بنات"</formula1>
      <formula2>0</formula2>
    </dataValidation>
    <dataValidation type="list" allowBlank="1" sqref="E5:E54 L5:M54">
      <formula1>"نعم,لا"</formula1>
      <formula2>0</formula2>
    </dataValidation>
    <dataValidation type="list" allowBlank="1" sqref="F5:I54">
      <formula1>"نعم,جزئياً,لا"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  <pageSetUpPr fitToPage="1"/>
  </sheetPr>
  <dimension ref="A1:L65"/>
  <sheetViews>
    <sheetView rightToLeft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L1"/>
    </sheetView>
  </sheetViews>
  <sheetFormatPr defaultColWidth="8.6640625" defaultRowHeight="14.4"/>
  <cols>
    <col min="1" max="1" width="6" customWidth="1"/>
    <col min="2" max="2" width="13" customWidth="1"/>
    <col min="3" max="3" width="22" customWidth="1"/>
    <col min="4" max="4" width="13" customWidth="1"/>
    <col min="5" max="6" width="14" customWidth="1"/>
    <col min="7" max="10" width="11" customWidth="1"/>
    <col min="11" max="11" width="20" customWidth="1"/>
    <col min="12" max="12" width="28" customWidth="1"/>
  </cols>
  <sheetData>
    <row r="1" spans="1:12" ht="30" customHeight="1">
      <c r="A1" s="35" t="s">
        <v>187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15" customHeight="1">
      <c r="A2" s="36" t="s">
        <v>57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42" customHeight="1">
      <c r="A3" s="1" t="s">
        <v>2</v>
      </c>
      <c r="B3" s="1" t="s">
        <v>188</v>
      </c>
      <c r="C3" s="1" t="s">
        <v>15</v>
      </c>
      <c r="D3" s="1" t="s">
        <v>189</v>
      </c>
      <c r="E3" s="1" t="s">
        <v>190</v>
      </c>
      <c r="F3" s="1" t="s">
        <v>191</v>
      </c>
      <c r="G3" s="1" t="s">
        <v>192</v>
      </c>
      <c r="H3" s="1" t="s">
        <v>193</v>
      </c>
      <c r="I3" s="1" t="s">
        <v>194</v>
      </c>
      <c r="J3" s="1" t="s">
        <v>195</v>
      </c>
      <c r="K3" s="1" t="s">
        <v>196</v>
      </c>
      <c r="L3" s="1" t="s">
        <v>197</v>
      </c>
    </row>
    <row r="4" spans="1:12">
      <c r="A4" s="7" t="s">
        <v>121</v>
      </c>
      <c r="B4" s="7" t="s">
        <v>198</v>
      </c>
      <c r="C4" s="7" t="s">
        <v>142</v>
      </c>
      <c r="D4" s="7" t="s">
        <v>199</v>
      </c>
      <c r="E4" s="7" t="s">
        <v>200</v>
      </c>
      <c r="F4" s="7" t="s">
        <v>201</v>
      </c>
      <c r="G4" s="7">
        <v>45</v>
      </c>
      <c r="H4" s="7">
        <v>28</v>
      </c>
      <c r="I4" s="7">
        <v>30</v>
      </c>
      <c r="J4" s="24">
        <f t="shared" ref="J4:J35" si="0">IF(OR(H4="",I4="",I4=0),"",H4/I4)</f>
        <v>0.93333333333333335</v>
      </c>
      <c r="K4" s="7" t="s">
        <v>165</v>
      </c>
      <c r="L4" s="7" t="s">
        <v>202</v>
      </c>
    </row>
    <row r="5" spans="1:12">
      <c r="A5" s="19">
        <v>1</v>
      </c>
      <c r="B5" s="5"/>
      <c r="C5" s="5"/>
      <c r="D5" s="5"/>
      <c r="E5" s="5"/>
      <c r="F5" s="5"/>
      <c r="G5" s="5"/>
      <c r="H5" s="5"/>
      <c r="I5" s="5"/>
      <c r="J5" s="25" t="str">
        <f t="shared" si="0"/>
        <v/>
      </c>
      <c r="K5" s="5"/>
      <c r="L5" s="5"/>
    </row>
    <row r="6" spans="1:12">
      <c r="A6" s="19">
        <v>2</v>
      </c>
      <c r="B6" s="5"/>
      <c r="C6" s="5"/>
      <c r="D6" s="5"/>
      <c r="E6" s="5"/>
      <c r="F6" s="5"/>
      <c r="G6" s="5"/>
      <c r="H6" s="5"/>
      <c r="I6" s="5"/>
      <c r="J6" s="25" t="str">
        <f t="shared" si="0"/>
        <v/>
      </c>
      <c r="K6" s="5"/>
      <c r="L6" s="5"/>
    </row>
    <row r="7" spans="1:12">
      <c r="A7" s="19">
        <v>3</v>
      </c>
      <c r="B7" s="5"/>
      <c r="C7" s="5"/>
      <c r="D7" s="5"/>
      <c r="E7" s="5"/>
      <c r="F7" s="5"/>
      <c r="G7" s="5"/>
      <c r="H7" s="5"/>
      <c r="I7" s="5"/>
      <c r="J7" s="25" t="str">
        <f t="shared" si="0"/>
        <v/>
      </c>
      <c r="K7" s="5"/>
      <c r="L7" s="5"/>
    </row>
    <row r="8" spans="1:12">
      <c r="A8" s="19">
        <v>4</v>
      </c>
      <c r="B8" s="5"/>
      <c r="C8" s="5"/>
      <c r="D8" s="5"/>
      <c r="E8" s="5"/>
      <c r="F8" s="5"/>
      <c r="G8" s="5"/>
      <c r="H8" s="5"/>
      <c r="I8" s="5"/>
      <c r="J8" s="25" t="str">
        <f t="shared" si="0"/>
        <v/>
      </c>
      <c r="K8" s="5"/>
      <c r="L8" s="5"/>
    </row>
    <row r="9" spans="1:12">
      <c r="A9" s="19">
        <v>5</v>
      </c>
      <c r="B9" s="5"/>
      <c r="C9" s="5"/>
      <c r="D9" s="5"/>
      <c r="E9" s="5"/>
      <c r="F9" s="5"/>
      <c r="G9" s="5"/>
      <c r="H9" s="5"/>
      <c r="I9" s="5"/>
      <c r="J9" s="25" t="str">
        <f t="shared" si="0"/>
        <v/>
      </c>
      <c r="K9" s="5"/>
      <c r="L9" s="5"/>
    </row>
    <row r="10" spans="1:12">
      <c r="A10" s="19">
        <v>6</v>
      </c>
      <c r="B10" s="5"/>
      <c r="C10" s="5"/>
      <c r="D10" s="5"/>
      <c r="E10" s="5"/>
      <c r="F10" s="5"/>
      <c r="G10" s="5"/>
      <c r="H10" s="5"/>
      <c r="I10" s="5"/>
      <c r="J10" s="25" t="str">
        <f t="shared" si="0"/>
        <v/>
      </c>
      <c r="K10" s="5"/>
      <c r="L10" s="5"/>
    </row>
    <row r="11" spans="1:12">
      <c r="A11" s="19">
        <v>7</v>
      </c>
      <c r="B11" s="5"/>
      <c r="C11" s="5"/>
      <c r="D11" s="5"/>
      <c r="E11" s="5"/>
      <c r="F11" s="5"/>
      <c r="G11" s="5"/>
      <c r="H11" s="5"/>
      <c r="I11" s="5"/>
      <c r="J11" s="25" t="str">
        <f t="shared" si="0"/>
        <v/>
      </c>
      <c r="K11" s="5"/>
      <c r="L11" s="5"/>
    </row>
    <row r="12" spans="1:12">
      <c r="A12" s="19">
        <v>8</v>
      </c>
      <c r="B12" s="5"/>
      <c r="C12" s="5"/>
      <c r="D12" s="5"/>
      <c r="E12" s="5"/>
      <c r="F12" s="5"/>
      <c r="G12" s="5"/>
      <c r="H12" s="5"/>
      <c r="I12" s="5"/>
      <c r="J12" s="25" t="str">
        <f t="shared" si="0"/>
        <v/>
      </c>
      <c r="K12" s="5"/>
      <c r="L12" s="5"/>
    </row>
    <row r="13" spans="1:12">
      <c r="A13" s="19">
        <v>9</v>
      </c>
      <c r="B13" s="5"/>
      <c r="C13" s="5"/>
      <c r="D13" s="5"/>
      <c r="E13" s="5"/>
      <c r="F13" s="5"/>
      <c r="G13" s="5"/>
      <c r="H13" s="5"/>
      <c r="I13" s="5"/>
      <c r="J13" s="25" t="str">
        <f t="shared" si="0"/>
        <v/>
      </c>
      <c r="K13" s="5"/>
      <c r="L13" s="5"/>
    </row>
    <row r="14" spans="1:12">
      <c r="A14" s="19">
        <v>10</v>
      </c>
      <c r="B14" s="5"/>
      <c r="C14" s="5"/>
      <c r="D14" s="5"/>
      <c r="E14" s="5"/>
      <c r="F14" s="5"/>
      <c r="G14" s="5"/>
      <c r="H14" s="5"/>
      <c r="I14" s="5"/>
      <c r="J14" s="25" t="str">
        <f t="shared" si="0"/>
        <v/>
      </c>
      <c r="K14" s="5"/>
      <c r="L14" s="5"/>
    </row>
    <row r="15" spans="1:12">
      <c r="A15" s="19">
        <v>11</v>
      </c>
      <c r="B15" s="5"/>
      <c r="C15" s="5"/>
      <c r="D15" s="5"/>
      <c r="E15" s="5"/>
      <c r="F15" s="5"/>
      <c r="G15" s="5"/>
      <c r="H15" s="5"/>
      <c r="I15" s="5"/>
      <c r="J15" s="25" t="str">
        <f t="shared" si="0"/>
        <v/>
      </c>
      <c r="K15" s="5"/>
      <c r="L15" s="5"/>
    </row>
    <row r="16" spans="1:12">
      <c r="A16" s="19">
        <v>12</v>
      </c>
      <c r="B16" s="5"/>
      <c r="C16" s="5"/>
      <c r="D16" s="5"/>
      <c r="E16" s="5"/>
      <c r="F16" s="5"/>
      <c r="G16" s="5"/>
      <c r="H16" s="5"/>
      <c r="I16" s="5"/>
      <c r="J16" s="25" t="str">
        <f t="shared" si="0"/>
        <v/>
      </c>
      <c r="K16" s="5"/>
      <c r="L16" s="5"/>
    </row>
    <row r="17" spans="1:12">
      <c r="A17" s="19">
        <v>13</v>
      </c>
      <c r="B17" s="5"/>
      <c r="C17" s="5"/>
      <c r="D17" s="5"/>
      <c r="E17" s="5"/>
      <c r="F17" s="5"/>
      <c r="G17" s="5"/>
      <c r="H17" s="5"/>
      <c r="I17" s="5"/>
      <c r="J17" s="25" t="str">
        <f t="shared" si="0"/>
        <v/>
      </c>
      <c r="K17" s="5"/>
      <c r="L17" s="5"/>
    </row>
    <row r="18" spans="1:12">
      <c r="A18" s="19">
        <v>14</v>
      </c>
      <c r="B18" s="5"/>
      <c r="C18" s="5"/>
      <c r="D18" s="5"/>
      <c r="E18" s="5"/>
      <c r="F18" s="5"/>
      <c r="G18" s="5"/>
      <c r="H18" s="5"/>
      <c r="I18" s="5"/>
      <c r="J18" s="25" t="str">
        <f t="shared" si="0"/>
        <v/>
      </c>
      <c r="K18" s="5"/>
      <c r="L18" s="5"/>
    </row>
    <row r="19" spans="1:12">
      <c r="A19" s="19">
        <v>15</v>
      </c>
      <c r="B19" s="5"/>
      <c r="C19" s="5"/>
      <c r="D19" s="5"/>
      <c r="E19" s="5"/>
      <c r="F19" s="5"/>
      <c r="G19" s="5"/>
      <c r="H19" s="5"/>
      <c r="I19" s="5"/>
      <c r="J19" s="25" t="str">
        <f t="shared" si="0"/>
        <v/>
      </c>
      <c r="K19" s="5"/>
      <c r="L19" s="5"/>
    </row>
    <row r="20" spans="1:12">
      <c r="A20" s="19">
        <v>16</v>
      </c>
      <c r="B20" s="5"/>
      <c r="C20" s="5"/>
      <c r="D20" s="5"/>
      <c r="E20" s="5"/>
      <c r="F20" s="5"/>
      <c r="G20" s="5"/>
      <c r="H20" s="5"/>
      <c r="I20" s="5"/>
      <c r="J20" s="25" t="str">
        <f t="shared" si="0"/>
        <v/>
      </c>
      <c r="K20" s="5"/>
      <c r="L20" s="5"/>
    </row>
    <row r="21" spans="1:12">
      <c r="A21" s="19">
        <v>17</v>
      </c>
      <c r="B21" s="5"/>
      <c r="C21" s="5"/>
      <c r="D21" s="5"/>
      <c r="E21" s="5"/>
      <c r="F21" s="5"/>
      <c r="G21" s="5"/>
      <c r="H21" s="5"/>
      <c r="I21" s="5"/>
      <c r="J21" s="25" t="str">
        <f t="shared" si="0"/>
        <v/>
      </c>
      <c r="K21" s="5"/>
      <c r="L21" s="5"/>
    </row>
    <row r="22" spans="1:12">
      <c r="A22" s="19">
        <v>18</v>
      </c>
      <c r="B22" s="5"/>
      <c r="C22" s="5"/>
      <c r="D22" s="5"/>
      <c r="E22" s="5"/>
      <c r="F22" s="5"/>
      <c r="G22" s="5"/>
      <c r="H22" s="5"/>
      <c r="I22" s="5"/>
      <c r="J22" s="25" t="str">
        <f t="shared" si="0"/>
        <v/>
      </c>
      <c r="K22" s="5"/>
      <c r="L22" s="5"/>
    </row>
    <row r="23" spans="1:12">
      <c r="A23" s="19">
        <v>19</v>
      </c>
      <c r="B23" s="5"/>
      <c r="C23" s="5"/>
      <c r="D23" s="5"/>
      <c r="E23" s="5"/>
      <c r="F23" s="5"/>
      <c r="G23" s="5"/>
      <c r="H23" s="5"/>
      <c r="I23" s="5"/>
      <c r="J23" s="25" t="str">
        <f t="shared" si="0"/>
        <v/>
      </c>
      <c r="K23" s="5"/>
      <c r="L23" s="5"/>
    </row>
    <row r="24" spans="1:12">
      <c r="A24" s="19">
        <v>20</v>
      </c>
      <c r="B24" s="5"/>
      <c r="C24" s="5"/>
      <c r="D24" s="5"/>
      <c r="E24" s="5"/>
      <c r="F24" s="5"/>
      <c r="G24" s="5"/>
      <c r="H24" s="5"/>
      <c r="I24" s="5"/>
      <c r="J24" s="25" t="str">
        <f t="shared" si="0"/>
        <v/>
      </c>
      <c r="K24" s="5"/>
      <c r="L24" s="5"/>
    </row>
    <row r="25" spans="1:12">
      <c r="A25" s="19">
        <v>21</v>
      </c>
      <c r="B25" s="5"/>
      <c r="C25" s="5"/>
      <c r="D25" s="5"/>
      <c r="E25" s="5"/>
      <c r="F25" s="5"/>
      <c r="G25" s="5"/>
      <c r="H25" s="5"/>
      <c r="I25" s="5"/>
      <c r="J25" s="25" t="str">
        <f t="shared" si="0"/>
        <v/>
      </c>
      <c r="K25" s="5"/>
      <c r="L25" s="5"/>
    </row>
    <row r="26" spans="1:12">
      <c r="A26" s="19">
        <v>22</v>
      </c>
      <c r="B26" s="5"/>
      <c r="C26" s="5"/>
      <c r="D26" s="5"/>
      <c r="E26" s="5"/>
      <c r="F26" s="5"/>
      <c r="G26" s="5"/>
      <c r="H26" s="5"/>
      <c r="I26" s="5"/>
      <c r="J26" s="25" t="str">
        <f t="shared" si="0"/>
        <v/>
      </c>
      <c r="K26" s="5"/>
      <c r="L26" s="5"/>
    </row>
    <row r="27" spans="1:12">
      <c r="A27" s="19">
        <v>23</v>
      </c>
      <c r="B27" s="5"/>
      <c r="C27" s="5"/>
      <c r="D27" s="5"/>
      <c r="E27" s="5"/>
      <c r="F27" s="5"/>
      <c r="G27" s="5"/>
      <c r="H27" s="5"/>
      <c r="I27" s="5"/>
      <c r="J27" s="25" t="str">
        <f t="shared" si="0"/>
        <v/>
      </c>
      <c r="K27" s="5"/>
      <c r="L27" s="5"/>
    </row>
    <row r="28" spans="1:12">
      <c r="A28" s="19">
        <v>24</v>
      </c>
      <c r="B28" s="5"/>
      <c r="C28" s="5"/>
      <c r="D28" s="5"/>
      <c r="E28" s="5"/>
      <c r="F28" s="5"/>
      <c r="G28" s="5"/>
      <c r="H28" s="5"/>
      <c r="I28" s="5"/>
      <c r="J28" s="25" t="str">
        <f t="shared" si="0"/>
        <v/>
      </c>
      <c r="K28" s="5"/>
      <c r="L28" s="5"/>
    </row>
    <row r="29" spans="1:12">
      <c r="A29" s="19">
        <v>25</v>
      </c>
      <c r="B29" s="5"/>
      <c r="C29" s="5"/>
      <c r="D29" s="5"/>
      <c r="E29" s="5"/>
      <c r="F29" s="5"/>
      <c r="G29" s="5"/>
      <c r="H29" s="5"/>
      <c r="I29" s="5"/>
      <c r="J29" s="25" t="str">
        <f t="shared" si="0"/>
        <v/>
      </c>
      <c r="K29" s="5"/>
      <c r="L29" s="5"/>
    </row>
    <row r="30" spans="1:12">
      <c r="A30" s="19">
        <v>26</v>
      </c>
      <c r="B30" s="5"/>
      <c r="C30" s="5"/>
      <c r="D30" s="5"/>
      <c r="E30" s="5"/>
      <c r="F30" s="5"/>
      <c r="G30" s="5"/>
      <c r="H30" s="5"/>
      <c r="I30" s="5"/>
      <c r="J30" s="25" t="str">
        <f t="shared" si="0"/>
        <v/>
      </c>
      <c r="K30" s="5"/>
      <c r="L30" s="5"/>
    </row>
    <row r="31" spans="1:12">
      <c r="A31" s="19">
        <v>27</v>
      </c>
      <c r="B31" s="5"/>
      <c r="C31" s="5"/>
      <c r="D31" s="5"/>
      <c r="E31" s="5"/>
      <c r="F31" s="5"/>
      <c r="G31" s="5"/>
      <c r="H31" s="5"/>
      <c r="I31" s="5"/>
      <c r="J31" s="25" t="str">
        <f t="shared" si="0"/>
        <v/>
      </c>
      <c r="K31" s="5"/>
      <c r="L31" s="5"/>
    </row>
    <row r="32" spans="1:12">
      <c r="A32" s="19">
        <v>28</v>
      </c>
      <c r="B32" s="5"/>
      <c r="C32" s="5"/>
      <c r="D32" s="5"/>
      <c r="E32" s="5"/>
      <c r="F32" s="5"/>
      <c r="G32" s="5"/>
      <c r="H32" s="5"/>
      <c r="I32" s="5"/>
      <c r="J32" s="25" t="str">
        <f t="shared" si="0"/>
        <v/>
      </c>
      <c r="K32" s="5"/>
      <c r="L32" s="5"/>
    </row>
    <row r="33" spans="1:12">
      <c r="A33" s="19">
        <v>29</v>
      </c>
      <c r="B33" s="5"/>
      <c r="C33" s="5"/>
      <c r="D33" s="5"/>
      <c r="E33" s="5"/>
      <c r="F33" s="5"/>
      <c r="G33" s="5"/>
      <c r="H33" s="5"/>
      <c r="I33" s="5"/>
      <c r="J33" s="25" t="str">
        <f t="shared" si="0"/>
        <v/>
      </c>
      <c r="K33" s="5"/>
      <c r="L33" s="5"/>
    </row>
    <row r="34" spans="1:12">
      <c r="A34" s="19">
        <v>30</v>
      </c>
      <c r="B34" s="5"/>
      <c r="C34" s="5"/>
      <c r="D34" s="5"/>
      <c r="E34" s="5"/>
      <c r="F34" s="5"/>
      <c r="G34" s="5"/>
      <c r="H34" s="5"/>
      <c r="I34" s="5"/>
      <c r="J34" s="25" t="str">
        <f t="shared" si="0"/>
        <v/>
      </c>
      <c r="K34" s="5"/>
      <c r="L34" s="5"/>
    </row>
    <row r="35" spans="1:12">
      <c r="A35" s="19">
        <v>31</v>
      </c>
      <c r="B35" s="5"/>
      <c r="C35" s="5"/>
      <c r="D35" s="5"/>
      <c r="E35" s="5"/>
      <c r="F35" s="5"/>
      <c r="G35" s="5"/>
      <c r="H35" s="5"/>
      <c r="I35" s="5"/>
      <c r="J35" s="25" t="str">
        <f t="shared" si="0"/>
        <v/>
      </c>
      <c r="K35" s="5"/>
      <c r="L35" s="5"/>
    </row>
    <row r="36" spans="1:12">
      <c r="A36" s="19">
        <v>32</v>
      </c>
      <c r="B36" s="5"/>
      <c r="C36" s="5"/>
      <c r="D36" s="5"/>
      <c r="E36" s="5"/>
      <c r="F36" s="5"/>
      <c r="G36" s="5"/>
      <c r="H36" s="5"/>
      <c r="I36" s="5"/>
      <c r="J36" s="25" t="str">
        <f t="shared" ref="J36:J64" si="1">IF(OR(H36="",I36="",I36=0),"",H36/I36)</f>
        <v/>
      </c>
      <c r="K36" s="5"/>
      <c r="L36" s="5"/>
    </row>
    <row r="37" spans="1:12">
      <c r="A37" s="19">
        <v>33</v>
      </c>
      <c r="B37" s="5"/>
      <c r="C37" s="5"/>
      <c r="D37" s="5"/>
      <c r="E37" s="5"/>
      <c r="F37" s="5"/>
      <c r="G37" s="5"/>
      <c r="H37" s="5"/>
      <c r="I37" s="5"/>
      <c r="J37" s="25" t="str">
        <f t="shared" si="1"/>
        <v/>
      </c>
      <c r="K37" s="5"/>
      <c r="L37" s="5"/>
    </row>
    <row r="38" spans="1:12">
      <c r="A38" s="19">
        <v>34</v>
      </c>
      <c r="B38" s="5"/>
      <c r="C38" s="5"/>
      <c r="D38" s="5"/>
      <c r="E38" s="5"/>
      <c r="F38" s="5"/>
      <c r="G38" s="5"/>
      <c r="H38" s="5"/>
      <c r="I38" s="5"/>
      <c r="J38" s="25" t="str">
        <f t="shared" si="1"/>
        <v/>
      </c>
      <c r="K38" s="5"/>
      <c r="L38" s="5"/>
    </row>
    <row r="39" spans="1:12">
      <c r="A39" s="19">
        <v>35</v>
      </c>
      <c r="B39" s="5"/>
      <c r="C39" s="5"/>
      <c r="D39" s="5"/>
      <c r="E39" s="5"/>
      <c r="F39" s="5"/>
      <c r="G39" s="5"/>
      <c r="H39" s="5"/>
      <c r="I39" s="5"/>
      <c r="J39" s="25" t="str">
        <f t="shared" si="1"/>
        <v/>
      </c>
      <c r="K39" s="5"/>
      <c r="L39" s="5"/>
    </row>
    <row r="40" spans="1:12">
      <c r="A40" s="19">
        <v>36</v>
      </c>
      <c r="B40" s="5"/>
      <c r="C40" s="5"/>
      <c r="D40" s="5"/>
      <c r="E40" s="5"/>
      <c r="F40" s="5"/>
      <c r="G40" s="5"/>
      <c r="H40" s="5"/>
      <c r="I40" s="5"/>
      <c r="J40" s="25" t="str">
        <f t="shared" si="1"/>
        <v/>
      </c>
      <c r="K40" s="5"/>
      <c r="L40" s="5"/>
    </row>
    <row r="41" spans="1:12">
      <c r="A41" s="19">
        <v>37</v>
      </c>
      <c r="B41" s="5"/>
      <c r="C41" s="5"/>
      <c r="D41" s="5"/>
      <c r="E41" s="5"/>
      <c r="F41" s="5"/>
      <c r="G41" s="5"/>
      <c r="H41" s="5"/>
      <c r="I41" s="5"/>
      <c r="J41" s="25" t="str">
        <f t="shared" si="1"/>
        <v/>
      </c>
      <c r="K41" s="5"/>
      <c r="L41" s="5"/>
    </row>
    <row r="42" spans="1:12">
      <c r="A42" s="19">
        <v>38</v>
      </c>
      <c r="B42" s="5"/>
      <c r="C42" s="5"/>
      <c r="D42" s="5"/>
      <c r="E42" s="5"/>
      <c r="F42" s="5"/>
      <c r="G42" s="5"/>
      <c r="H42" s="5"/>
      <c r="I42" s="5"/>
      <c r="J42" s="25" t="str">
        <f t="shared" si="1"/>
        <v/>
      </c>
      <c r="K42" s="5"/>
      <c r="L42" s="5"/>
    </row>
    <row r="43" spans="1:12">
      <c r="A43" s="19">
        <v>39</v>
      </c>
      <c r="B43" s="5"/>
      <c r="C43" s="5"/>
      <c r="D43" s="5"/>
      <c r="E43" s="5"/>
      <c r="F43" s="5"/>
      <c r="G43" s="5"/>
      <c r="H43" s="5"/>
      <c r="I43" s="5"/>
      <c r="J43" s="25" t="str">
        <f t="shared" si="1"/>
        <v/>
      </c>
      <c r="K43" s="5"/>
      <c r="L43" s="5"/>
    </row>
    <row r="44" spans="1:12">
      <c r="A44" s="19">
        <v>40</v>
      </c>
      <c r="B44" s="5"/>
      <c r="C44" s="5"/>
      <c r="D44" s="5"/>
      <c r="E44" s="5"/>
      <c r="F44" s="5"/>
      <c r="G44" s="5"/>
      <c r="H44" s="5"/>
      <c r="I44" s="5"/>
      <c r="J44" s="25" t="str">
        <f t="shared" si="1"/>
        <v/>
      </c>
      <c r="K44" s="5"/>
      <c r="L44" s="5"/>
    </row>
    <row r="45" spans="1:12">
      <c r="A45" s="19">
        <v>41</v>
      </c>
      <c r="B45" s="5"/>
      <c r="C45" s="5"/>
      <c r="D45" s="5"/>
      <c r="E45" s="5"/>
      <c r="F45" s="5"/>
      <c r="G45" s="5"/>
      <c r="H45" s="5"/>
      <c r="I45" s="5"/>
      <c r="J45" s="25" t="str">
        <f t="shared" si="1"/>
        <v/>
      </c>
      <c r="K45" s="5"/>
      <c r="L45" s="5"/>
    </row>
    <row r="46" spans="1:12">
      <c r="A46" s="19">
        <v>42</v>
      </c>
      <c r="B46" s="5"/>
      <c r="C46" s="5"/>
      <c r="D46" s="5"/>
      <c r="E46" s="5"/>
      <c r="F46" s="5"/>
      <c r="G46" s="5"/>
      <c r="H46" s="5"/>
      <c r="I46" s="5"/>
      <c r="J46" s="25" t="str">
        <f t="shared" si="1"/>
        <v/>
      </c>
      <c r="K46" s="5"/>
      <c r="L46" s="5"/>
    </row>
    <row r="47" spans="1:12">
      <c r="A47" s="19">
        <v>43</v>
      </c>
      <c r="B47" s="5"/>
      <c r="C47" s="5"/>
      <c r="D47" s="5"/>
      <c r="E47" s="5"/>
      <c r="F47" s="5"/>
      <c r="G47" s="5"/>
      <c r="H47" s="5"/>
      <c r="I47" s="5"/>
      <c r="J47" s="25" t="str">
        <f t="shared" si="1"/>
        <v/>
      </c>
      <c r="K47" s="5"/>
      <c r="L47" s="5"/>
    </row>
    <row r="48" spans="1:12">
      <c r="A48" s="19">
        <v>44</v>
      </c>
      <c r="B48" s="5"/>
      <c r="C48" s="5"/>
      <c r="D48" s="5"/>
      <c r="E48" s="5"/>
      <c r="F48" s="5"/>
      <c r="G48" s="5"/>
      <c r="H48" s="5"/>
      <c r="I48" s="5"/>
      <c r="J48" s="25" t="str">
        <f t="shared" si="1"/>
        <v/>
      </c>
      <c r="K48" s="5"/>
      <c r="L48" s="5"/>
    </row>
    <row r="49" spans="1:12">
      <c r="A49" s="19">
        <v>45</v>
      </c>
      <c r="B49" s="5"/>
      <c r="C49" s="5"/>
      <c r="D49" s="5"/>
      <c r="E49" s="5"/>
      <c r="F49" s="5"/>
      <c r="G49" s="5"/>
      <c r="H49" s="5"/>
      <c r="I49" s="5"/>
      <c r="J49" s="25" t="str">
        <f t="shared" si="1"/>
        <v/>
      </c>
      <c r="K49" s="5"/>
      <c r="L49" s="5"/>
    </row>
    <row r="50" spans="1:12">
      <c r="A50" s="19">
        <v>46</v>
      </c>
      <c r="B50" s="5"/>
      <c r="C50" s="5"/>
      <c r="D50" s="5"/>
      <c r="E50" s="5"/>
      <c r="F50" s="5"/>
      <c r="G50" s="5"/>
      <c r="H50" s="5"/>
      <c r="I50" s="5"/>
      <c r="J50" s="25" t="str">
        <f t="shared" si="1"/>
        <v/>
      </c>
      <c r="K50" s="5"/>
      <c r="L50" s="5"/>
    </row>
    <row r="51" spans="1:12">
      <c r="A51" s="19">
        <v>47</v>
      </c>
      <c r="B51" s="5"/>
      <c r="C51" s="5"/>
      <c r="D51" s="5"/>
      <c r="E51" s="5"/>
      <c r="F51" s="5"/>
      <c r="G51" s="5"/>
      <c r="H51" s="5"/>
      <c r="I51" s="5"/>
      <c r="J51" s="25" t="str">
        <f t="shared" si="1"/>
        <v/>
      </c>
      <c r="K51" s="5"/>
      <c r="L51" s="5"/>
    </row>
    <row r="52" spans="1:12">
      <c r="A52" s="19">
        <v>48</v>
      </c>
      <c r="B52" s="5"/>
      <c r="C52" s="5"/>
      <c r="D52" s="5"/>
      <c r="E52" s="5"/>
      <c r="F52" s="5"/>
      <c r="G52" s="5"/>
      <c r="H52" s="5"/>
      <c r="I52" s="5"/>
      <c r="J52" s="25" t="str">
        <f t="shared" si="1"/>
        <v/>
      </c>
      <c r="K52" s="5"/>
      <c r="L52" s="5"/>
    </row>
    <row r="53" spans="1:12">
      <c r="A53" s="19">
        <v>49</v>
      </c>
      <c r="B53" s="5"/>
      <c r="C53" s="5"/>
      <c r="D53" s="5"/>
      <c r="E53" s="5"/>
      <c r="F53" s="5"/>
      <c r="G53" s="5"/>
      <c r="H53" s="5"/>
      <c r="I53" s="5"/>
      <c r="J53" s="25" t="str">
        <f t="shared" si="1"/>
        <v/>
      </c>
      <c r="K53" s="5"/>
      <c r="L53" s="5"/>
    </row>
    <row r="54" spans="1:12">
      <c r="A54" s="19">
        <v>50</v>
      </c>
      <c r="B54" s="5"/>
      <c r="C54" s="5"/>
      <c r="D54" s="5"/>
      <c r="E54" s="5"/>
      <c r="F54" s="5"/>
      <c r="G54" s="5"/>
      <c r="H54" s="5"/>
      <c r="I54" s="5"/>
      <c r="J54" s="25" t="str">
        <f t="shared" si="1"/>
        <v/>
      </c>
      <c r="K54" s="5"/>
      <c r="L54" s="5"/>
    </row>
    <row r="55" spans="1:12">
      <c r="A55" s="19">
        <v>51</v>
      </c>
      <c r="B55" s="5"/>
      <c r="C55" s="5"/>
      <c r="D55" s="5"/>
      <c r="E55" s="5"/>
      <c r="F55" s="5"/>
      <c r="G55" s="5"/>
      <c r="H55" s="5"/>
      <c r="I55" s="5"/>
      <c r="J55" s="25" t="str">
        <f t="shared" si="1"/>
        <v/>
      </c>
      <c r="K55" s="5"/>
      <c r="L55" s="5"/>
    </row>
    <row r="56" spans="1:12">
      <c r="A56" s="19">
        <v>52</v>
      </c>
      <c r="B56" s="5"/>
      <c r="C56" s="5"/>
      <c r="D56" s="5"/>
      <c r="E56" s="5"/>
      <c r="F56" s="5"/>
      <c r="G56" s="5"/>
      <c r="H56" s="5"/>
      <c r="I56" s="5"/>
      <c r="J56" s="25" t="str">
        <f t="shared" si="1"/>
        <v/>
      </c>
      <c r="K56" s="5"/>
      <c r="L56" s="5"/>
    </row>
    <row r="57" spans="1:12">
      <c r="A57" s="19">
        <v>53</v>
      </c>
      <c r="B57" s="5"/>
      <c r="C57" s="5"/>
      <c r="D57" s="5"/>
      <c r="E57" s="5"/>
      <c r="F57" s="5"/>
      <c r="G57" s="5"/>
      <c r="H57" s="5"/>
      <c r="I57" s="5"/>
      <c r="J57" s="25" t="str">
        <f t="shared" si="1"/>
        <v/>
      </c>
      <c r="K57" s="5"/>
      <c r="L57" s="5"/>
    </row>
    <row r="58" spans="1:12">
      <c r="A58" s="19">
        <v>54</v>
      </c>
      <c r="B58" s="5"/>
      <c r="C58" s="5"/>
      <c r="D58" s="5"/>
      <c r="E58" s="5"/>
      <c r="F58" s="5"/>
      <c r="G58" s="5"/>
      <c r="H58" s="5"/>
      <c r="I58" s="5"/>
      <c r="J58" s="25" t="str">
        <f t="shared" si="1"/>
        <v/>
      </c>
      <c r="K58" s="5"/>
      <c r="L58" s="5"/>
    </row>
    <row r="59" spans="1:12">
      <c r="A59" s="19">
        <v>55</v>
      </c>
      <c r="B59" s="5"/>
      <c r="C59" s="5"/>
      <c r="D59" s="5"/>
      <c r="E59" s="5"/>
      <c r="F59" s="5"/>
      <c r="G59" s="5"/>
      <c r="H59" s="5"/>
      <c r="I59" s="5"/>
      <c r="J59" s="25" t="str">
        <f t="shared" si="1"/>
        <v/>
      </c>
      <c r="K59" s="5"/>
      <c r="L59" s="5"/>
    </row>
    <row r="60" spans="1:12">
      <c r="A60" s="19">
        <v>56</v>
      </c>
      <c r="B60" s="5"/>
      <c r="C60" s="5"/>
      <c r="D60" s="5"/>
      <c r="E60" s="5"/>
      <c r="F60" s="5"/>
      <c r="G60" s="5"/>
      <c r="H60" s="5"/>
      <c r="I60" s="5"/>
      <c r="J60" s="25" t="str">
        <f t="shared" si="1"/>
        <v/>
      </c>
      <c r="K60" s="5"/>
      <c r="L60" s="5"/>
    </row>
    <row r="61" spans="1:12">
      <c r="A61" s="19">
        <v>57</v>
      </c>
      <c r="B61" s="5"/>
      <c r="C61" s="5"/>
      <c r="D61" s="5"/>
      <c r="E61" s="5"/>
      <c r="F61" s="5"/>
      <c r="G61" s="5"/>
      <c r="H61" s="5"/>
      <c r="I61" s="5"/>
      <c r="J61" s="25" t="str">
        <f t="shared" si="1"/>
        <v/>
      </c>
      <c r="K61" s="5"/>
      <c r="L61" s="5"/>
    </row>
    <row r="62" spans="1:12">
      <c r="A62" s="19">
        <v>58</v>
      </c>
      <c r="B62" s="5"/>
      <c r="C62" s="5"/>
      <c r="D62" s="5"/>
      <c r="E62" s="5"/>
      <c r="F62" s="5"/>
      <c r="G62" s="5"/>
      <c r="H62" s="5"/>
      <c r="I62" s="5"/>
      <c r="J62" s="25" t="str">
        <f t="shared" si="1"/>
        <v/>
      </c>
      <c r="K62" s="5"/>
      <c r="L62" s="5"/>
    </row>
    <row r="63" spans="1:12">
      <c r="A63" s="19">
        <v>59</v>
      </c>
      <c r="B63" s="5"/>
      <c r="C63" s="5"/>
      <c r="D63" s="5"/>
      <c r="E63" s="5"/>
      <c r="F63" s="5"/>
      <c r="G63" s="5"/>
      <c r="H63" s="5"/>
      <c r="I63" s="5"/>
      <c r="J63" s="25" t="str">
        <f t="shared" si="1"/>
        <v/>
      </c>
      <c r="K63" s="5"/>
      <c r="L63" s="5"/>
    </row>
    <row r="64" spans="1:12">
      <c r="A64" s="19">
        <v>60</v>
      </c>
      <c r="B64" s="5"/>
      <c r="C64" s="5"/>
      <c r="D64" s="5"/>
      <c r="E64" s="5"/>
      <c r="F64" s="5"/>
      <c r="G64" s="5"/>
      <c r="H64" s="5"/>
      <c r="I64" s="5"/>
      <c r="J64" s="25" t="str">
        <f t="shared" si="1"/>
        <v/>
      </c>
      <c r="K64" s="5"/>
      <c r="L64" s="5"/>
    </row>
    <row r="65" spans="1:12" ht="27.6">
      <c r="A65" s="2" t="s">
        <v>185</v>
      </c>
      <c r="B65" s="19"/>
      <c r="C65" s="19"/>
      <c r="D65" s="19"/>
      <c r="E65" s="19"/>
      <c r="F65" s="19"/>
      <c r="G65" s="19"/>
      <c r="H65" s="2">
        <f>SUM(H5:H64)</f>
        <v>0</v>
      </c>
      <c r="I65" s="2">
        <f>SUM(I5:I64)</f>
        <v>0</v>
      </c>
      <c r="J65" s="26" t="str">
        <f>IFERROR(H65/I65,"")</f>
        <v/>
      </c>
      <c r="K65" s="19"/>
      <c r="L65" s="19"/>
    </row>
  </sheetData>
  <mergeCells count="2">
    <mergeCell ref="A1:L1"/>
    <mergeCell ref="A2:L2"/>
  </mergeCells>
  <dataValidations count="2">
    <dataValidation type="list" allowBlank="1" sqref="E5:E64">
      <formula1>"حصة حركية,محطات,وحدة تدريبية,تدريب منتخب"</formula1>
      <formula2>0</formula2>
    </dataValidation>
    <dataValidation type="list" allowBlank="1" sqref="F5:F64">
      <formula1>"القوة,السرعة,التحمل,الرشاقة,التوافق,المرونة,التوازن"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  <pageSetUpPr fitToPage="1"/>
  </sheetPr>
  <dimension ref="A1:K45"/>
  <sheetViews>
    <sheetView rightToLeft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K1"/>
    </sheetView>
  </sheetViews>
  <sheetFormatPr defaultColWidth="8.6640625" defaultRowHeight="14.4"/>
  <cols>
    <col min="1" max="1" width="6" customWidth="1"/>
    <col min="2" max="2" width="26" customWidth="1"/>
    <col min="3" max="3" width="22" customWidth="1"/>
    <col min="4" max="4" width="11" customWidth="1"/>
    <col min="5" max="5" width="9" customWidth="1"/>
    <col min="6" max="6" width="12" customWidth="1"/>
    <col min="7" max="7" width="16" customWidth="1"/>
    <col min="8" max="9" width="14" customWidth="1"/>
    <col min="10" max="10" width="26" customWidth="1"/>
    <col min="11" max="11" width="24" customWidth="1"/>
  </cols>
  <sheetData>
    <row r="1" spans="1:11" ht="30" customHeight="1">
      <c r="A1" s="35" t="s">
        <v>203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15" customHeight="1">
      <c r="A2" s="36" t="s">
        <v>57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ht="42" customHeight="1">
      <c r="A3" s="1" t="s">
        <v>2</v>
      </c>
      <c r="B3" s="1" t="s">
        <v>136</v>
      </c>
      <c r="C3" s="1" t="s">
        <v>15</v>
      </c>
      <c r="D3" s="1" t="s">
        <v>58</v>
      </c>
      <c r="E3" s="1" t="s">
        <v>137</v>
      </c>
      <c r="F3" s="1" t="s">
        <v>204</v>
      </c>
      <c r="G3" s="1" t="s">
        <v>205</v>
      </c>
      <c r="H3" s="1" t="s">
        <v>206</v>
      </c>
      <c r="I3" s="1" t="s">
        <v>207</v>
      </c>
      <c r="J3" s="1" t="s">
        <v>208</v>
      </c>
      <c r="K3" s="1" t="s">
        <v>65</v>
      </c>
    </row>
    <row r="4" spans="1:11">
      <c r="A4" s="7" t="s">
        <v>121</v>
      </c>
      <c r="B4" s="7" t="s">
        <v>122</v>
      </c>
      <c r="C4" s="7" t="s">
        <v>142</v>
      </c>
      <c r="D4" s="7" t="s">
        <v>209</v>
      </c>
      <c r="E4" s="7" t="s">
        <v>210</v>
      </c>
      <c r="F4" s="7">
        <v>44</v>
      </c>
      <c r="G4" s="7" t="s">
        <v>201</v>
      </c>
      <c r="H4" s="7" t="s">
        <v>211</v>
      </c>
      <c r="I4" s="7" t="s">
        <v>38</v>
      </c>
      <c r="J4" s="7" t="s">
        <v>212</v>
      </c>
      <c r="K4" s="7"/>
    </row>
    <row r="5" spans="1:11">
      <c r="A5" s="19">
        <v>1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>
      <c r="A6" s="19">
        <v>2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>
      <c r="A7" s="19">
        <v>3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>
      <c r="A8" s="19">
        <v>4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>
      <c r="A9" s="19">
        <v>5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>
      <c r="A10" s="19">
        <v>6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19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19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19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19">
        <v>10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19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19">
        <v>12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19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19">
        <v>14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19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19">
        <v>16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19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19">
        <v>18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19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19">
        <v>20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19">
        <v>21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19">
        <v>22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19">
        <v>23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19">
        <v>24</v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19">
        <v>25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19">
        <v>26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19">
        <v>27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19">
        <v>28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19">
        <v>29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19">
        <v>30</v>
      </c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19">
        <v>31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19">
        <v>32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19">
        <v>33</v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19">
        <v>34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19">
        <v>35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19">
        <v>36</v>
      </c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19">
        <v>37</v>
      </c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19">
        <v>38</v>
      </c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19">
        <v>39</v>
      </c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19">
        <v>40</v>
      </c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27.6">
      <c r="A45" s="2" t="s">
        <v>185</v>
      </c>
      <c r="B45" s="2">
        <f>COUNTA(B5:B44)</f>
        <v>0</v>
      </c>
      <c r="C45" s="19"/>
      <c r="D45" s="19"/>
      <c r="E45" s="19"/>
      <c r="F45" s="19"/>
      <c r="G45" s="19"/>
      <c r="H45" s="19"/>
      <c r="I45" s="19"/>
      <c r="J45" s="19"/>
      <c r="K45" s="19"/>
    </row>
  </sheetData>
  <mergeCells count="2">
    <mergeCell ref="A1:K1"/>
    <mergeCell ref="A2:K2"/>
  </mergeCells>
  <dataValidations count="5">
    <dataValidation type="list" allowBlank="1" sqref="D5:D44">
      <formula1>"ابتدائي,إعدادي,ثانوي"</formula1>
      <formula2>0</formula2>
    </dataValidation>
    <dataValidation type="list" allowBlank="1" sqref="E5:E44">
      <formula1>"بنين,بنات"</formula1>
      <formula2>0</formula2>
    </dataValidation>
    <dataValidation type="list" allowBlank="1" sqref="G5:G44">
      <formula1>"القوة,السرعة,التحمل,الرشاقة,التوافق,المرونة"</formula1>
      <formula2>0</formula2>
    </dataValidation>
    <dataValidation type="list" allowBlank="1" sqref="H5:H44">
      <formula1>"ممتاز,جيد,يحتاج تحسين"</formula1>
      <formula2>0</formula2>
    </dataValidation>
    <dataValidation type="list" allowBlank="1" sqref="I5:I44">
      <formula1>"المعهد,الإدارة,المنطقة,لا"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1"/>
  <sheetViews>
    <sheetView rightToLeft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8" sqref="F18"/>
    </sheetView>
  </sheetViews>
  <sheetFormatPr defaultColWidth="8.6640625" defaultRowHeight="14.4"/>
  <cols>
    <col min="1" max="1" width="6" customWidth="1"/>
    <col min="2" max="2" width="45" customWidth="1"/>
    <col min="3" max="3" width="14" customWidth="1"/>
    <col min="4" max="4" width="30" customWidth="1"/>
    <col min="5" max="5" width="34" customWidth="1"/>
  </cols>
  <sheetData>
    <row r="1" spans="1:5" ht="30" customHeight="1">
      <c r="A1" s="35" t="s">
        <v>213</v>
      </c>
      <c r="B1" s="35"/>
      <c r="C1" s="35"/>
      <c r="D1" s="35"/>
      <c r="E1" s="35"/>
    </row>
    <row r="2" spans="1:5" ht="15" customHeight="1">
      <c r="A2" s="36" t="s">
        <v>57</v>
      </c>
      <c r="B2" s="36"/>
      <c r="C2" s="36"/>
      <c r="D2" s="36"/>
      <c r="E2" s="36"/>
    </row>
    <row r="3" spans="1:5" ht="42" customHeight="1">
      <c r="A3" s="1" t="s">
        <v>2</v>
      </c>
      <c r="B3" s="1" t="s">
        <v>214</v>
      </c>
      <c r="C3" s="1" t="s">
        <v>215</v>
      </c>
      <c r="D3" s="1" t="s">
        <v>216</v>
      </c>
      <c r="E3" s="1" t="s">
        <v>217</v>
      </c>
    </row>
    <row r="4" spans="1:5">
      <c r="A4" s="7" t="s">
        <v>121</v>
      </c>
      <c r="B4" s="7" t="s">
        <v>218</v>
      </c>
      <c r="C4" s="7">
        <v>4</v>
      </c>
      <c r="D4" s="7" t="s">
        <v>219</v>
      </c>
      <c r="E4" s="7" t="s">
        <v>146</v>
      </c>
    </row>
    <row r="5" spans="1:5">
      <c r="A5" s="19">
        <v>1</v>
      </c>
      <c r="B5" s="5" t="s">
        <v>220</v>
      </c>
      <c r="C5" s="5"/>
      <c r="D5" s="5"/>
      <c r="E5" s="5"/>
    </row>
    <row r="6" spans="1:5">
      <c r="A6" s="19">
        <v>2</v>
      </c>
      <c r="B6" s="5" t="s">
        <v>221</v>
      </c>
      <c r="C6" s="5"/>
      <c r="D6" s="5"/>
      <c r="E6" s="5"/>
    </row>
    <row r="7" spans="1:5">
      <c r="A7" s="19">
        <v>3</v>
      </c>
      <c r="B7" s="5" t="s">
        <v>222</v>
      </c>
      <c r="C7" s="5"/>
      <c r="D7" s="5"/>
      <c r="E7" s="5"/>
    </row>
    <row r="8" spans="1:5">
      <c r="A8" s="19">
        <v>4</v>
      </c>
      <c r="B8" s="5" t="s">
        <v>223</v>
      </c>
      <c r="C8" s="5"/>
      <c r="D8" s="5"/>
      <c r="E8" s="5"/>
    </row>
    <row r="9" spans="1:5">
      <c r="A9" s="19">
        <v>5</v>
      </c>
      <c r="B9" s="5" t="s">
        <v>224</v>
      </c>
      <c r="C9" s="5"/>
      <c r="D9" s="5"/>
      <c r="E9" s="5"/>
    </row>
    <row r="10" spans="1:5">
      <c r="A10" s="19">
        <v>6</v>
      </c>
      <c r="B10" s="5" t="s">
        <v>225</v>
      </c>
      <c r="C10" s="5"/>
      <c r="D10" s="5"/>
      <c r="E10" s="5"/>
    </row>
    <row r="11" spans="1:5">
      <c r="A11" s="19">
        <v>7</v>
      </c>
      <c r="B11" s="5" t="s">
        <v>226</v>
      </c>
      <c r="C11" s="5"/>
      <c r="D11" s="5"/>
      <c r="E11" s="5"/>
    </row>
    <row r="12" spans="1:5">
      <c r="A12" s="19">
        <v>8</v>
      </c>
      <c r="B12" s="5" t="s">
        <v>227</v>
      </c>
      <c r="C12" s="5"/>
      <c r="D12" s="5"/>
      <c r="E12" s="5"/>
    </row>
    <row r="13" spans="1:5">
      <c r="A13" s="19">
        <v>9</v>
      </c>
      <c r="B13" s="5" t="s">
        <v>228</v>
      </c>
      <c r="C13" s="5"/>
      <c r="D13" s="5"/>
      <c r="E13" s="5"/>
    </row>
    <row r="14" spans="1:5">
      <c r="A14" s="19">
        <v>10</v>
      </c>
      <c r="B14" s="5" t="s">
        <v>229</v>
      </c>
      <c r="C14" s="5"/>
      <c r="D14" s="5"/>
      <c r="E14" s="5"/>
    </row>
    <row r="15" spans="1:5">
      <c r="A15" s="19">
        <v>11</v>
      </c>
      <c r="B15" s="5" t="s">
        <v>230</v>
      </c>
      <c r="C15" s="5"/>
      <c r="D15" s="5"/>
      <c r="E15" s="5"/>
    </row>
    <row r="16" spans="1:5">
      <c r="A16" s="19">
        <v>12</v>
      </c>
      <c r="B16" s="5" t="s">
        <v>231</v>
      </c>
      <c r="C16" s="5"/>
      <c r="D16" s="5"/>
      <c r="E16" s="5"/>
    </row>
    <row r="17" spans="1:5">
      <c r="A17" s="27" t="s">
        <v>117</v>
      </c>
      <c r="C17" s="28" t="str">
        <f>IFERROR(AVERAGE(C5:C16),"")</f>
        <v/>
      </c>
    </row>
    <row r="18" spans="1:5" ht="26.85" customHeight="1">
      <c r="A18" s="44" t="s">
        <v>311</v>
      </c>
      <c r="B18" s="44"/>
      <c r="C18" s="44"/>
      <c r="D18" s="44"/>
      <c r="E18" s="44"/>
    </row>
    <row r="20" spans="1:5">
      <c r="B20" s="2" t="s">
        <v>232</v>
      </c>
      <c r="C20" s="29" t="str">
        <f>IFERROR(SUM(C5:C16)/(COUNT(C5:C16)*5),"")</f>
        <v/>
      </c>
    </row>
    <row r="21" spans="1:5">
      <c r="B21" s="2" t="s">
        <v>112</v>
      </c>
      <c r="C21" s="22" t="str">
        <f>IF(C20="","",IF(C20&gt;=0.9,"ممتاز",IF(C20&gt;=0.75,"جيد جدا",IF(C20&gt;=0.6,"جيد","يحتاج دعما"))))</f>
        <v/>
      </c>
    </row>
  </sheetData>
  <mergeCells count="3">
    <mergeCell ref="A1:E1"/>
    <mergeCell ref="A2:E2"/>
    <mergeCell ref="A18:E18"/>
  </mergeCells>
  <dataValidations count="1">
    <dataValidation type="list" allowBlank="1" sqref="C5:C16">
      <formula1>"1,2,3,4,5"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  <pageSetUpPr fitToPage="1"/>
  </sheetPr>
  <dimension ref="A1:M65"/>
  <sheetViews>
    <sheetView rightToLeft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9" sqref="D9"/>
    </sheetView>
  </sheetViews>
  <sheetFormatPr defaultColWidth="8.6640625" defaultRowHeight="14.4"/>
  <cols>
    <col min="1" max="1" width="6" customWidth="1"/>
    <col min="2" max="2" width="13" customWidth="1"/>
    <col min="3" max="3" width="22" customWidth="1"/>
    <col min="4" max="4" width="18" customWidth="1"/>
    <col min="5" max="5" width="24" customWidth="1"/>
    <col min="6" max="6" width="18" customWidth="1"/>
    <col min="7" max="11" width="13" customWidth="1"/>
    <col min="12" max="12" width="28" customWidth="1"/>
    <col min="13" max="13" width="14" customWidth="1"/>
  </cols>
  <sheetData>
    <row r="1" spans="1:13" ht="30" customHeight="1">
      <c r="A1" s="35" t="s">
        <v>233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15" customHeight="1">
      <c r="A2" s="36" t="s">
        <v>57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42" customHeight="1">
      <c r="A3" s="1" t="s">
        <v>2</v>
      </c>
      <c r="B3" s="1" t="s">
        <v>234</v>
      </c>
      <c r="C3" s="1" t="s">
        <v>15</v>
      </c>
      <c r="D3" s="1" t="s">
        <v>38</v>
      </c>
      <c r="E3" s="1" t="s">
        <v>235</v>
      </c>
      <c r="F3" s="1" t="s">
        <v>5</v>
      </c>
      <c r="G3" s="1" t="s">
        <v>236</v>
      </c>
      <c r="H3" s="1" t="s">
        <v>237</v>
      </c>
      <c r="I3" s="1" t="s">
        <v>238</v>
      </c>
      <c r="J3" s="1" t="s">
        <v>239</v>
      </c>
      <c r="K3" s="1" t="s">
        <v>240</v>
      </c>
      <c r="L3" s="1" t="s">
        <v>241</v>
      </c>
      <c r="M3" s="1" t="s">
        <v>242</v>
      </c>
    </row>
    <row r="4" spans="1:13">
      <c r="A4" s="7" t="s">
        <v>121</v>
      </c>
      <c r="B4" s="7" t="s">
        <v>243</v>
      </c>
      <c r="C4" s="7" t="s">
        <v>142</v>
      </c>
      <c r="D4" s="7" t="s">
        <v>168</v>
      </c>
      <c r="E4" s="7" t="s">
        <v>244</v>
      </c>
      <c r="F4" s="7" t="s">
        <v>245</v>
      </c>
      <c r="G4" s="7" t="s">
        <v>246</v>
      </c>
      <c r="H4" s="7" t="s">
        <v>246</v>
      </c>
      <c r="I4" s="7" t="s">
        <v>246</v>
      </c>
      <c r="J4" s="7" t="s">
        <v>246</v>
      </c>
      <c r="K4" s="7" t="s">
        <v>246</v>
      </c>
      <c r="L4" s="7" t="s">
        <v>247</v>
      </c>
      <c r="M4" s="7" t="s">
        <v>248</v>
      </c>
    </row>
    <row r="5" spans="1:13">
      <c r="A5" s="19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19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19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19">
        <v>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19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19">
        <v>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19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19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19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19">
        <v>10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19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19">
        <v>12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19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19">
        <v>14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19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19">
        <v>16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19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19">
        <v>18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19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19">
        <v>20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19">
        <v>21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19">
        <v>22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19">
        <v>23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19">
        <v>24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19">
        <v>25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19">
        <v>26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19">
        <v>27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19">
        <v>28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19">
        <v>29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19">
        <v>30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19">
        <v>31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19">
        <v>32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19">
        <v>33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19">
        <v>34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19">
        <v>35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19">
        <v>36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19">
        <v>37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19">
        <v>38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19">
        <v>39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19">
        <v>40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>
      <c r="A45" s="19">
        <v>41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19">
        <v>42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19">
        <v>43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19">
        <v>44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>
      <c r="A49" s="19">
        <v>45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>
      <c r="A50" s="19">
        <v>46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>
      <c r="A51" s="19">
        <v>47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>
      <c r="A52" s="19">
        <v>48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>
      <c r="A53" s="19">
        <v>49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>
      <c r="A54" s="19">
        <v>50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>
      <c r="A55" s="19">
        <v>51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>
      <c r="A56" s="19">
        <v>52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>
      <c r="A57" s="19">
        <v>53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>
      <c r="A58" s="19">
        <v>54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>
      <c r="A59" s="19">
        <v>55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>
      <c r="A60" s="19">
        <v>56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>
      <c r="A61" s="19">
        <v>57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>
      <c r="A62" s="19">
        <v>58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>
      <c r="A63" s="19">
        <v>59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>
      <c r="A64" s="19">
        <v>60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 ht="27.6">
      <c r="A65" s="2" t="s">
        <v>185</v>
      </c>
      <c r="B65" s="2">
        <f>COUNTA(B5:B64)</f>
        <v>0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</sheetData>
  <mergeCells count="2">
    <mergeCell ref="A1:M1"/>
    <mergeCell ref="A2:M2"/>
  </mergeCells>
  <dataValidations count="2">
    <dataValidation type="list" allowBlank="1" sqref="F5:F64">
      <formula1>"متابعة مسح,متابعة تدريب,متابعة تصفيات,شكوى/مشكلة"</formula1>
      <formula2>0</formula2>
    </dataValidation>
    <dataValidation type="list" allowBlank="1" sqref="G5:K64">
      <formula1>"مستوفى,غير مستوفى"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  <pageSetUpPr fitToPage="1"/>
  </sheetPr>
  <dimension ref="A1:O45"/>
  <sheetViews>
    <sheetView rightToLeft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O1"/>
    </sheetView>
  </sheetViews>
  <sheetFormatPr defaultColWidth="8.6640625" defaultRowHeight="14.4"/>
  <cols>
    <col min="1" max="1" width="6" customWidth="1"/>
    <col min="2" max="2" width="24" customWidth="1"/>
    <col min="3" max="3" width="22" customWidth="1"/>
    <col min="4" max="4" width="11" customWidth="1"/>
    <col min="5" max="6" width="12" customWidth="1"/>
    <col min="7" max="8" width="11" customWidth="1"/>
    <col min="9" max="9" width="13" customWidth="1"/>
    <col min="10" max="10" width="12" customWidth="1"/>
    <col min="11" max="11" width="13" customWidth="1"/>
    <col min="12" max="13" width="11" customWidth="1"/>
    <col min="14" max="14" width="12" customWidth="1"/>
    <col min="15" max="15" width="26" customWidth="1"/>
  </cols>
  <sheetData>
    <row r="1" spans="1:15" ht="30" customHeight="1">
      <c r="A1" s="35" t="s">
        <v>249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15" customHeight="1">
      <c r="A2" s="36" t="s">
        <v>57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ht="42" customHeight="1">
      <c r="A3" s="1" t="s">
        <v>2</v>
      </c>
      <c r="B3" s="1" t="s">
        <v>15</v>
      </c>
      <c r="C3" s="1" t="s">
        <v>250</v>
      </c>
      <c r="D3" s="1" t="s">
        <v>251</v>
      </c>
      <c r="E3" s="1" t="s">
        <v>252</v>
      </c>
      <c r="F3" s="1" t="s">
        <v>253</v>
      </c>
      <c r="G3" s="1" t="s">
        <v>195</v>
      </c>
      <c r="H3" s="1" t="s">
        <v>254</v>
      </c>
      <c r="I3" s="1" t="s">
        <v>255</v>
      </c>
      <c r="J3" s="1" t="s">
        <v>256</v>
      </c>
      <c r="K3" s="1" t="s">
        <v>257</v>
      </c>
      <c r="L3" s="1" t="s">
        <v>258</v>
      </c>
      <c r="M3" s="1" t="s">
        <v>259</v>
      </c>
      <c r="N3" s="1" t="s">
        <v>260</v>
      </c>
      <c r="O3" s="1" t="s">
        <v>65</v>
      </c>
    </row>
    <row r="4" spans="1:15">
      <c r="A4" s="7" t="s">
        <v>121</v>
      </c>
      <c r="B4" s="7" t="s">
        <v>142</v>
      </c>
      <c r="C4" s="7" t="s">
        <v>165</v>
      </c>
      <c r="D4" s="7">
        <v>320</v>
      </c>
      <c r="E4" s="7">
        <v>320</v>
      </c>
      <c r="F4" s="7">
        <v>300</v>
      </c>
      <c r="G4" s="24">
        <f t="shared" ref="G4:G44" si="0">IF(OR(E4="",F4="",E4=0),"",F4/E4)</f>
        <v>0.9375</v>
      </c>
      <c r="H4" s="7" t="s">
        <v>166</v>
      </c>
      <c r="I4" s="7" t="s">
        <v>261</v>
      </c>
      <c r="J4" s="7">
        <v>8</v>
      </c>
      <c r="K4" s="7" t="str">
        <f t="shared" ref="K4:K44" si="1">IF(J4="","",IF(J4&gt;=7,"مستوفى","أقل من 7"))</f>
        <v>مستوفى</v>
      </c>
      <c r="L4" s="7" t="s">
        <v>166</v>
      </c>
      <c r="M4" s="7">
        <v>1</v>
      </c>
      <c r="N4" s="7">
        <v>7.4</v>
      </c>
      <c r="O4" s="7"/>
    </row>
    <row r="5" spans="1:15">
      <c r="A5" s="19">
        <v>1</v>
      </c>
      <c r="B5" s="5"/>
      <c r="C5" s="5"/>
      <c r="D5" s="5"/>
      <c r="E5" s="5"/>
      <c r="F5" s="5"/>
      <c r="G5" s="25" t="str">
        <f t="shared" si="0"/>
        <v/>
      </c>
      <c r="H5" s="5"/>
      <c r="I5" s="5"/>
      <c r="J5" s="5"/>
      <c r="K5" s="4" t="str">
        <f t="shared" si="1"/>
        <v/>
      </c>
      <c r="L5" s="5"/>
      <c r="M5" s="5"/>
      <c r="N5" s="5"/>
      <c r="O5" s="5"/>
    </row>
    <row r="6" spans="1:15">
      <c r="A6" s="19">
        <v>2</v>
      </c>
      <c r="B6" s="5"/>
      <c r="C6" s="5"/>
      <c r="D6" s="5"/>
      <c r="E6" s="5"/>
      <c r="F6" s="5"/>
      <c r="G6" s="25" t="str">
        <f t="shared" si="0"/>
        <v/>
      </c>
      <c r="H6" s="5"/>
      <c r="I6" s="5"/>
      <c r="J6" s="5"/>
      <c r="K6" s="4" t="str">
        <f t="shared" si="1"/>
        <v/>
      </c>
      <c r="L6" s="5"/>
      <c r="M6" s="5"/>
      <c r="N6" s="5"/>
      <c r="O6" s="5"/>
    </row>
    <row r="7" spans="1:15">
      <c r="A7" s="19">
        <v>3</v>
      </c>
      <c r="B7" s="5"/>
      <c r="C7" s="5"/>
      <c r="D7" s="5"/>
      <c r="E7" s="5"/>
      <c r="F7" s="5"/>
      <c r="G7" s="25" t="str">
        <f t="shared" si="0"/>
        <v/>
      </c>
      <c r="H7" s="5"/>
      <c r="I7" s="5"/>
      <c r="J7" s="5"/>
      <c r="K7" s="4" t="str">
        <f t="shared" si="1"/>
        <v/>
      </c>
      <c r="L7" s="5"/>
      <c r="M7" s="5"/>
      <c r="N7" s="5"/>
      <c r="O7" s="5"/>
    </row>
    <row r="8" spans="1:15">
      <c r="A8" s="19">
        <v>4</v>
      </c>
      <c r="B8" s="5"/>
      <c r="C8" s="5"/>
      <c r="D8" s="5"/>
      <c r="E8" s="5"/>
      <c r="F8" s="5"/>
      <c r="G8" s="25" t="str">
        <f t="shared" si="0"/>
        <v/>
      </c>
      <c r="H8" s="5"/>
      <c r="I8" s="5"/>
      <c r="J8" s="5"/>
      <c r="K8" s="4" t="str">
        <f t="shared" si="1"/>
        <v/>
      </c>
      <c r="L8" s="5"/>
      <c r="M8" s="5"/>
      <c r="N8" s="5"/>
      <c r="O8" s="5"/>
    </row>
    <row r="9" spans="1:15">
      <c r="A9" s="19">
        <v>5</v>
      </c>
      <c r="B9" s="5"/>
      <c r="C9" s="5"/>
      <c r="D9" s="5"/>
      <c r="E9" s="5"/>
      <c r="F9" s="5"/>
      <c r="G9" s="25" t="str">
        <f t="shared" si="0"/>
        <v/>
      </c>
      <c r="H9" s="5"/>
      <c r="I9" s="5"/>
      <c r="J9" s="5"/>
      <c r="K9" s="4" t="str">
        <f t="shared" si="1"/>
        <v/>
      </c>
      <c r="L9" s="5"/>
      <c r="M9" s="5"/>
      <c r="N9" s="5"/>
      <c r="O9" s="5"/>
    </row>
    <row r="10" spans="1:15">
      <c r="A10" s="19">
        <v>6</v>
      </c>
      <c r="B10" s="5"/>
      <c r="C10" s="5"/>
      <c r="D10" s="5"/>
      <c r="E10" s="5"/>
      <c r="F10" s="5"/>
      <c r="G10" s="25" t="str">
        <f t="shared" si="0"/>
        <v/>
      </c>
      <c r="H10" s="5"/>
      <c r="I10" s="5"/>
      <c r="J10" s="5"/>
      <c r="K10" s="4" t="str">
        <f t="shared" si="1"/>
        <v/>
      </c>
      <c r="L10" s="5"/>
      <c r="M10" s="5"/>
      <c r="N10" s="5"/>
      <c r="O10" s="5"/>
    </row>
    <row r="11" spans="1:15">
      <c r="A11" s="19">
        <v>7</v>
      </c>
      <c r="B11" s="5"/>
      <c r="C11" s="5"/>
      <c r="D11" s="5"/>
      <c r="E11" s="5"/>
      <c r="F11" s="5"/>
      <c r="G11" s="25" t="str">
        <f t="shared" si="0"/>
        <v/>
      </c>
      <c r="H11" s="5"/>
      <c r="I11" s="5"/>
      <c r="J11" s="5"/>
      <c r="K11" s="4" t="str">
        <f t="shared" si="1"/>
        <v/>
      </c>
      <c r="L11" s="5"/>
      <c r="M11" s="5"/>
      <c r="N11" s="5"/>
      <c r="O11" s="5"/>
    </row>
    <row r="12" spans="1:15">
      <c r="A12" s="19">
        <v>8</v>
      </c>
      <c r="B12" s="5"/>
      <c r="C12" s="5"/>
      <c r="D12" s="5"/>
      <c r="E12" s="5"/>
      <c r="F12" s="5"/>
      <c r="G12" s="25" t="str">
        <f t="shared" si="0"/>
        <v/>
      </c>
      <c r="H12" s="5"/>
      <c r="I12" s="5"/>
      <c r="J12" s="5"/>
      <c r="K12" s="4" t="str">
        <f t="shared" si="1"/>
        <v/>
      </c>
      <c r="L12" s="5"/>
      <c r="M12" s="5"/>
      <c r="N12" s="5"/>
      <c r="O12" s="5"/>
    </row>
    <row r="13" spans="1:15">
      <c r="A13" s="19">
        <v>9</v>
      </c>
      <c r="B13" s="5"/>
      <c r="C13" s="5"/>
      <c r="D13" s="5"/>
      <c r="E13" s="5"/>
      <c r="F13" s="5"/>
      <c r="G13" s="25" t="str">
        <f t="shared" si="0"/>
        <v/>
      </c>
      <c r="H13" s="5"/>
      <c r="I13" s="5"/>
      <c r="J13" s="5"/>
      <c r="K13" s="4" t="str">
        <f t="shared" si="1"/>
        <v/>
      </c>
      <c r="L13" s="5"/>
      <c r="M13" s="5"/>
      <c r="N13" s="5"/>
      <c r="O13" s="5"/>
    </row>
    <row r="14" spans="1:15">
      <c r="A14" s="19">
        <v>10</v>
      </c>
      <c r="B14" s="5"/>
      <c r="C14" s="5"/>
      <c r="D14" s="5"/>
      <c r="E14" s="5"/>
      <c r="F14" s="5"/>
      <c r="G14" s="25" t="str">
        <f t="shared" si="0"/>
        <v/>
      </c>
      <c r="H14" s="5"/>
      <c r="I14" s="5"/>
      <c r="J14" s="5"/>
      <c r="K14" s="4" t="str">
        <f t="shared" si="1"/>
        <v/>
      </c>
      <c r="L14" s="5"/>
      <c r="M14" s="5"/>
      <c r="N14" s="5"/>
      <c r="O14" s="5"/>
    </row>
    <row r="15" spans="1:15">
      <c r="A15" s="19">
        <v>11</v>
      </c>
      <c r="B15" s="5"/>
      <c r="C15" s="5"/>
      <c r="D15" s="5"/>
      <c r="E15" s="5"/>
      <c r="F15" s="5"/>
      <c r="G15" s="25" t="str">
        <f t="shared" si="0"/>
        <v/>
      </c>
      <c r="H15" s="5"/>
      <c r="I15" s="5"/>
      <c r="J15" s="5"/>
      <c r="K15" s="4" t="str">
        <f t="shared" si="1"/>
        <v/>
      </c>
      <c r="L15" s="5"/>
      <c r="M15" s="5"/>
      <c r="N15" s="5"/>
      <c r="O15" s="5"/>
    </row>
    <row r="16" spans="1:15">
      <c r="A16" s="19">
        <v>12</v>
      </c>
      <c r="B16" s="5"/>
      <c r="C16" s="5"/>
      <c r="D16" s="5"/>
      <c r="E16" s="5"/>
      <c r="F16" s="5"/>
      <c r="G16" s="25" t="str">
        <f t="shared" si="0"/>
        <v/>
      </c>
      <c r="H16" s="5"/>
      <c r="I16" s="5"/>
      <c r="J16" s="5"/>
      <c r="K16" s="4" t="str">
        <f t="shared" si="1"/>
        <v/>
      </c>
      <c r="L16" s="5"/>
      <c r="M16" s="5"/>
      <c r="N16" s="5"/>
      <c r="O16" s="5"/>
    </row>
    <row r="17" spans="1:15">
      <c r="A17" s="19">
        <v>13</v>
      </c>
      <c r="B17" s="5"/>
      <c r="C17" s="5"/>
      <c r="D17" s="5"/>
      <c r="E17" s="5"/>
      <c r="F17" s="5"/>
      <c r="G17" s="25" t="str">
        <f t="shared" si="0"/>
        <v/>
      </c>
      <c r="H17" s="5"/>
      <c r="I17" s="5"/>
      <c r="J17" s="5"/>
      <c r="K17" s="4" t="str">
        <f t="shared" si="1"/>
        <v/>
      </c>
      <c r="L17" s="5"/>
      <c r="M17" s="5"/>
      <c r="N17" s="5"/>
      <c r="O17" s="5"/>
    </row>
    <row r="18" spans="1:15">
      <c r="A18" s="19">
        <v>14</v>
      </c>
      <c r="B18" s="5"/>
      <c r="C18" s="5"/>
      <c r="D18" s="5"/>
      <c r="E18" s="5"/>
      <c r="F18" s="5"/>
      <c r="G18" s="25" t="str">
        <f t="shared" si="0"/>
        <v/>
      </c>
      <c r="H18" s="5"/>
      <c r="I18" s="5"/>
      <c r="J18" s="5"/>
      <c r="K18" s="4" t="str">
        <f t="shared" si="1"/>
        <v/>
      </c>
      <c r="L18" s="5"/>
      <c r="M18" s="5"/>
      <c r="N18" s="5"/>
      <c r="O18" s="5"/>
    </row>
    <row r="19" spans="1:15">
      <c r="A19" s="19">
        <v>15</v>
      </c>
      <c r="B19" s="5"/>
      <c r="C19" s="5"/>
      <c r="D19" s="5"/>
      <c r="E19" s="5"/>
      <c r="F19" s="5"/>
      <c r="G19" s="25" t="str">
        <f t="shared" si="0"/>
        <v/>
      </c>
      <c r="H19" s="5"/>
      <c r="I19" s="5"/>
      <c r="J19" s="5"/>
      <c r="K19" s="4" t="str">
        <f t="shared" si="1"/>
        <v/>
      </c>
      <c r="L19" s="5"/>
      <c r="M19" s="5"/>
      <c r="N19" s="5"/>
      <c r="O19" s="5"/>
    </row>
    <row r="20" spans="1:15">
      <c r="A20" s="19">
        <v>16</v>
      </c>
      <c r="B20" s="5"/>
      <c r="C20" s="5"/>
      <c r="D20" s="5"/>
      <c r="E20" s="5"/>
      <c r="F20" s="5"/>
      <c r="G20" s="25" t="str">
        <f t="shared" si="0"/>
        <v/>
      </c>
      <c r="H20" s="5"/>
      <c r="I20" s="5"/>
      <c r="J20" s="5"/>
      <c r="K20" s="4" t="str">
        <f t="shared" si="1"/>
        <v/>
      </c>
      <c r="L20" s="5"/>
      <c r="M20" s="5"/>
      <c r="N20" s="5"/>
      <c r="O20" s="5"/>
    </row>
    <row r="21" spans="1:15">
      <c r="A21" s="19">
        <v>17</v>
      </c>
      <c r="B21" s="5"/>
      <c r="C21" s="5"/>
      <c r="D21" s="5"/>
      <c r="E21" s="5"/>
      <c r="F21" s="5"/>
      <c r="G21" s="25" t="str">
        <f t="shared" si="0"/>
        <v/>
      </c>
      <c r="H21" s="5"/>
      <c r="I21" s="5"/>
      <c r="J21" s="5"/>
      <c r="K21" s="4" t="str">
        <f t="shared" si="1"/>
        <v/>
      </c>
      <c r="L21" s="5"/>
      <c r="M21" s="5"/>
      <c r="N21" s="5"/>
      <c r="O21" s="5"/>
    </row>
    <row r="22" spans="1:15">
      <c r="A22" s="19">
        <v>18</v>
      </c>
      <c r="B22" s="5"/>
      <c r="C22" s="5"/>
      <c r="D22" s="5"/>
      <c r="E22" s="5"/>
      <c r="F22" s="5"/>
      <c r="G22" s="25" t="str">
        <f t="shared" si="0"/>
        <v/>
      </c>
      <c r="H22" s="5"/>
      <c r="I22" s="5"/>
      <c r="J22" s="5"/>
      <c r="K22" s="4" t="str">
        <f t="shared" si="1"/>
        <v/>
      </c>
      <c r="L22" s="5"/>
      <c r="M22" s="5"/>
      <c r="N22" s="5"/>
      <c r="O22" s="5"/>
    </row>
    <row r="23" spans="1:15">
      <c r="A23" s="19">
        <v>19</v>
      </c>
      <c r="B23" s="5"/>
      <c r="C23" s="5"/>
      <c r="D23" s="5"/>
      <c r="E23" s="5"/>
      <c r="F23" s="5"/>
      <c r="G23" s="25" t="str">
        <f t="shared" si="0"/>
        <v/>
      </c>
      <c r="H23" s="5"/>
      <c r="I23" s="5"/>
      <c r="J23" s="5"/>
      <c r="K23" s="4" t="str">
        <f t="shared" si="1"/>
        <v/>
      </c>
      <c r="L23" s="5"/>
      <c r="M23" s="5"/>
      <c r="N23" s="5"/>
      <c r="O23" s="5"/>
    </row>
    <row r="24" spans="1:15">
      <c r="A24" s="19">
        <v>20</v>
      </c>
      <c r="B24" s="5"/>
      <c r="C24" s="5"/>
      <c r="D24" s="5"/>
      <c r="E24" s="5"/>
      <c r="F24" s="5"/>
      <c r="G24" s="25" t="str">
        <f t="shared" si="0"/>
        <v/>
      </c>
      <c r="H24" s="5"/>
      <c r="I24" s="5"/>
      <c r="J24" s="5"/>
      <c r="K24" s="4" t="str">
        <f t="shared" si="1"/>
        <v/>
      </c>
      <c r="L24" s="5"/>
      <c r="M24" s="5"/>
      <c r="N24" s="5"/>
      <c r="O24" s="5"/>
    </row>
    <row r="25" spans="1:15">
      <c r="A25" s="19">
        <v>21</v>
      </c>
      <c r="B25" s="5"/>
      <c r="C25" s="5"/>
      <c r="D25" s="5"/>
      <c r="E25" s="5"/>
      <c r="F25" s="5"/>
      <c r="G25" s="25" t="str">
        <f t="shared" si="0"/>
        <v/>
      </c>
      <c r="H25" s="5"/>
      <c r="I25" s="5"/>
      <c r="J25" s="5"/>
      <c r="K25" s="4" t="str">
        <f t="shared" si="1"/>
        <v/>
      </c>
      <c r="L25" s="5"/>
      <c r="M25" s="5"/>
      <c r="N25" s="5"/>
      <c r="O25" s="5"/>
    </row>
    <row r="26" spans="1:15">
      <c r="A26" s="19">
        <v>22</v>
      </c>
      <c r="B26" s="5"/>
      <c r="C26" s="5"/>
      <c r="D26" s="5"/>
      <c r="E26" s="5"/>
      <c r="F26" s="5"/>
      <c r="G26" s="25" t="str">
        <f t="shared" si="0"/>
        <v/>
      </c>
      <c r="H26" s="5"/>
      <c r="I26" s="5"/>
      <c r="J26" s="5"/>
      <c r="K26" s="4" t="str">
        <f t="shared" si="1"/>
        <v/>
      </c>
      <c r="L26" s="5"/>
      <c r="M26" s="5"/>
      <c r="N26" s="5"/>
      <c r="O26" s="5"/>
    </row>
    <row r="27" spans="1:15">
      <c r="A27" s="19">
        <v>23</v>
      </c>
      <c r="B27" s="5"/>
      <c r="C27" s="5"/>
      <c r="D27" s="5"/>
      <c r="E27" s="5"/>
      <c r="F27" s="5"/>
      <c r="G27" s="25" t="str">
        <f t="shared" si="0"/>
        <v/>
      </c>
      <c r="H27" s="5"/>
      <c r="I27" s="5"/>
      <c r="J27" s="5"/>
      <c r="K27" s="4" t="str">
        <f t="shared" si="1"/>
        <v/>
      </c>
      <c r="L27" s="5"/>
      <c r="M27" s="5"/>
      <c r="N27" s="5"/>
      <c r="O27" s="5"/>
    </row>
    <row r="28" spans="1:15">
      <c r="A28" s="19">
        <v>24</v>
      </c>
      <c r="B28" s="5"/>
      <c r="C28" s="5"/>
      <c r="D28" s="5"/>
      <c r="E28" s="5"/>
      <c r="F28" s="5"/>
      <c r="G28" s="25" t="str">
        <f t="shared" si="0"/>
        <v/>
      </c>
      <c r="H28" s="5"/>
      <c r="I28" s="5"/>
      <c r="J28" s="5"/>
      <c r="K28" s="4" t="str">
        <f t="shared" si="1"/>
        <v/>
      </c>
      <c r="L28" s="5"/>
      <c r="M28" s="5"/>
      <c r="N28" s="5"/>
      <c r="O28" s="5"/>
    </row>
    <row r="29" spans="1:15">
      <c r="A29" s="19">
        <v>25</v>
      </c>
      <c r="B29" s="5"/>
      <c r="C29" s="5"/>
      <c r="D29" s="5"/>
      <c r="E29" s="5"/>
      <c r="F29" s="5"/>
      <c r="G29" s="25" t="str">
        <f t="shared" si="0"/>
        <v/>
      </c>
      <c r="H29" s="5"/>
      <c r="I29" s="5"/>
      <c r="J29" s="5"/>
      <c r="K29" s="4" t="str">
        <f t="shared" si="1"/>
        <v/>
      </c>
      <c r="L29" s="5"/>
      <c r="M29" s="5"/>
      <c r="N29" s="5"/>
      <c r="O29" s="5"/>
    </row>
    <row r="30" spans="1:15">
      <c r="A30" s="19">
        <v>26</v>
      </c>
      <c r="B30" s="5"/>
      <c r="C30" s="5"/>
      <c r="D30" s="5"/>
      <c r="E30" s="5"/>
      <c r="F30" s="5"/>
      <c r="G30" s="25" t="str">
        <f t="shared" si="0"/>
        <v/>
      </c>
      <c r="H30" s="5"/>
      <c r="I30" s="5"/>
      <c r="J30" s="5"/>
      <c r="K30" s="4" t="str">
        <f t="shared" si="1"/>
        <v/>
      </c>
      <c r="L30" s="5"/>
      <c r="M30" s="5"/>
      <c r="N30" s="5"/>
      <c r="O30" s="5"/>
    </row>
    <row r="31" spans="1:15">
      <c r="A31" s="19">
        <v>27</v>
      </c>
      <c r="B31" s="5"/>
      <c r="C31" s="5"/>
      <c r="D31" s="5"/>
      <c r="E31" s="5"/>
      <c r="F31" s="5"/>
      <c r="G31" s="25" t="str">
        <f t="shared" si="0"/>
        <v/>
      </c>
      <c r="H31" s="5"/>
      <c r="I31" s="5"/>
      <c r="J31" s="5"/>
      <c r="K31" s="4" t="str">
        <f t="shared" si="1"/>
        <v/>
      </c>
      <c r="L31" s="5"/>
      <c r="M31" s="5"/>
      <c r="N31" s="5"/>
      <c r="O31" s="5"/>
    </row>
    <row r="32" spans="1:15">
      <c r="A32" s="19">
        <v>28</v>
      </c>
      <c r="B32" s="5"/>
      <c r="C32" s="5"/>
      <c r="D32" s="5"/>
      <c r="E32" s="5"/>
      <c r="F32" s="5"/>
      <c r="G32" s="25" t="str">
        <f t="shared" si="0"/>
        <v/>
      </c>
      <c r="H32" s="5"/>
      <c r="I32" s="5"/>
      <c r="J32" s="5"/>
      <c r="K32" s="4" t="str">
        <f t="shared" si="1"/>
        <v/>
      </c>
      <c r="L32" s="5"/>
      <c r="M32" s="5"/>
      <c r="N32" s="5"/>
      <c r="O32" s="5"/>
    </row>
    <row r="33" spans="1:15">
      <c r="A33" s="19">
        <v>29</v>
      </c>
      <c r="B33" s="5"/>
      <c r="C33" s="5"/>
      <c r="D33" s="5"/>
      <c r="E33" s="5"/>
      <c r="F33" s="5"/>
      <c r="G33" s="25" t="str">
        <f t="shared" si="0"/>
        <v/>
      </c>
      <c r="H33" s="5"/>
      <c r="I33" s="5"/>
      <c r="J33" s="5"/>
      <c r="K33" s="4" t="str">
        <f t="shared" si="1"/>
        <v/>
      </c>
      <c r="L33" s="5"/>
      <c r="M33" s="5"/>
      <c r="N33" s="5"/>
      <c r="O33" s="5"/>
    </row>
    <row r="34" spans="1:15">
      <c r="A34" s="19">
        <v>30</v>
      </c>
      <c r="B34" s="5"/>
      <c r="C34" s="5"/>
      <c r="D34" s="5"/>
      <c r="E34" s="5"/>
      <c r="F34" s="5"/>
      <c r="G34" s="25" t="str">
        <f t="shared" si="0"/>
        <v/>
      </c>
      <c r="H34" s="5"/>
      <c r="I34" s="5"/>
      <c r="J34" s="5"/>
      <c r="K34" s="4" t="str">
        <f t="shared" si="1"/>
        <v/>
      </c>
      <c r="L34" s="5"/>
      <c r="M34" s="5"/>
      <c r="N34" s="5"/>
      <c r="O34" s="5"/>
    </row>
    <row r="35" spans="1:15">
      <c r="A35" s="19">
        <v>31</v>
      </c>
      <c r="B35" s="5"/>
      <c r="C35" s="5"/>
      <c r="D35" s="5"/>
      <c r="E35" s="5"/>
      <c r="F35" s="5"/>
      <c r="G35" s="25" t="str">
        <f t="shared" si="0"/>
        <v/>
      </c>
      <c r="H35" s="5"/>
      <c r="I35" s="5"/>
      <c r="J35" s="5"/>
      <c r="K35" s="4" t="str">
        <f t="shared" si="1"/>
        <v/>
      </c>
      <c r="L35" s="5"/>
      <c r="M35" s="5"/>
      <c r="N35" s="5"/>
      <c r="O35" s="5"/>
    </row>
    <row r="36" spans="1:15">
      <c r="A36" s="19">
        <v>32</v>
      </c>
      <c r="B36" s="5"/>
      <c r="C36" s="5"/>
      <c r="D36" s="5"/>
      <c r="E36" s="5"/>
      <c r="F36" s="5"/>
      <c r="G36" s="25" t="str">
        <f t="shared" si="0"/>
        <v/>
      </c>
      <c r="H36" s="5"/>
      <c r="I36" s="5"/>
      <c r="J36" s="5"/>
      <c r="K36" s="4" t="str">
        <f t="shared" si="1"/>
        <v/>
      </c>
      <c r="L36" s="5"/>
      <c r="M36" s="5"/>
      <c r="N36" s="5"/>
      <c r="O36" s="5"/>
    </row>
    <row r="37" spans="1:15">
      <c r="A37" s="19">
        <v>33</v>
      </c>
      <c r="B37" s="5"/>
      <c r="C37" s="5"/>
      <c r="D37" s="5"/>
      <c r="E37" s="5"/>
      <c r="F37" s="5"/>
      <c r="G37" s="25" t="str">
        <f t="shared" si="0"/>
        <v/>
      </c>
      <c r="H37" s="5"/>
      <c r="I37" s="5"/>
      <c r="J37" s="5"/>
      <c r="K37" s="4" t="str">
        <f t="shared" si="1"/>
        <v/>
      </c>
      <c r="L37" s="5"/>
      <c r="M37" s="5"/>
      <c r="N37" s="5"/>
      <c r="O37" s="5"/>
    </row>
    <row r="38" spans="1:15">
      <c r="A38" s="19">
        <v>34</v>
      </c>
      <c r="B38" s="5"/>
      <c r="C38" s="5"/>
      <c r="D38" s="5"/>
      <c r="E38" s="5"/>
      <c r="F38" s="5"/>
      <c r="G38" s="25" t="str">
        <f t="shared" si="0"/>
        <v/>
      </c>
      <c r="H38" s="5"/>
      <c r="I38" s="5"/>
      <c r="J38" s="5"/>
      <c r="K38" s="4" t="str">
        <f t="shared" si="1"/>
        <v/>
      </c>
      <c r="L38" s="5"/>
      <c r="M38" s="5"/>
      <c r="N38" s="5"/>
      <c r="O38" s="5"/>
    </row>
    <row r="39" spans="1:15">
      <c r="A39" s="19">
        <v>35</v>
      </c>
      <c r="B39" s="5"/>
      <c r="C39" s="5"/>
      <c r="D39" s="5"/>
      <c r="E39" s="5"/>
      <c r="F39" s="5"/>
      <c r="G39" s="25" t="str">
        <f t="shared" si="0"/>
        <v/>
      </c>
      <c r="H39" s="5"/>
      <c r="I39" s="5"/>
      <c r="J39" s="5"/>
      <c r="K39" s="4" t="str">
        <f t="shared" si="1"/>
        <v/>
      </c>
      <c r="L39" s="5"/>
      <c r="M39" s="5"/>
      <c r="N39" s="5"/>
      <c r="O39" s="5"/>
    </row>
    <row r="40" spans="1:15">
      <c r="A40" s="19">
        <v>36</v>
      </c>
      <c r="B40" s="5"/>
      <c r="C40" s="5"/>
      <c r="D40" s="5"/>
      <c r="E40" s="5"/>
      <c r="F40" s="5"/>
      <c r="G40" s="25" t="str">
        <f t="shared" si="0"/>
        <v/>
      </c>
      <c r="H40" s="5"/>
      <c r="I40" s="5"/>
      <c r="J40" s="5"/>
      <c r="K40" s="4" t="str">
        <f t="shared" si="1"/>
        <v/>
      </c>
      <c r="L40" s="5"/>
      <c r="M40" s="5"/>
      <c r="N40" s="5"/>
      <c r="O40" s="5"/>
    </row>
    <row r="41" spans="1:15">
      <c r="A41" s="19">
        <v>37</v>
      </c>
      <c r="B41" s="5"/>
      <c r="C41" s="5"/>
      <c r="D41" s="5"/>
      <c r="E41" s="5"/>
      <c r="F41" s="5"/>
      <c r="G41" s="25" t="str">
        <f t="shared" si="0"/>
        <v/>
      </c>
      <c r="H41" s="5"/>
      <c r="I41" s="5"/>
      <c r="J41" s="5"/>
      <c r="K41" s="4" t="str">
        <f t="shared" si="1"/>
        <v/>
      </c>
      <c r="L41" s="5"/>
      <c r="M41" s="5"/>
      <c r="N41" s="5"/>
      <c r="O41" s="5"/>
    </row>
    <row r="42" spans="1:15">
      <c r="A42" s="19">
        <v>38</v>
      </c>
      <c r="B42" s="5"/>
      <c r="C42" s="5"/>
      <c r="D42" s="5"/>
      <c r="E42" s="5"/>
      <c r="F42" s="5"/>
      <c r="G42" s="25" t="str">
        <f t="shared" si="0"/>
        <v/>
      </c>
      <c r="H42" s="5"/>
      <c r="I42" s="5"/>
      <c r="J42" s="5"/>
      <c r="K42" s="4" t="str">
        <f t="shared" si="1"/>
        <v/>
      </c>
      <c r="L42" s="5"/>
      <c r="M42" s="5"/>
      <c r="N42" s="5"/>
      <c r="O42" s="5"/>
    </row>
    <row r="43" spans="1:15">
      <c r="A43" s="19">
        <v>39</v>
      </c>
      <c r="B43" s="5"/>
      <c r="C43" s="5"/>
      <c r="D43" s="5"/>
      <c r="E43" s="5"/>
      <c r="F43" s="5"/>
      <c r="G43" s="25" t="str">
        <f t="shared" si="0"/>
        <v/>
      </c>
      <c r="H43" s="5"/>
      <c r="I43" s="5"/>
      <c r="J43" s="5"/>
      <c r="K43" s="4" t="str">
        <f t="shared" si="1"/>
        <v/>
      </c>
      <c r="L43" s="5"/>
      <c r="M43" s="5"/>
      <c r="N43" s="5"/>
      <c r="O43" s="5"/>
    </row>
    <row r="44" spans="1:15">
      <c r="A44" s="19">
        <v>40</v>
      </c>
      <c r="B44" s="5"/>
      <c r="C44" s="5"/>
      <c r="D44" s="5"/>
      <c r="E44" s="5"/>
      <c r="F44" s="5"/>
      <c r="G44" s="25" t="str">
        <f t="shared" si="0"/>
        <v/>
      </c>
      <c r="H44" s="5"/>
      <c r="I44" s="5"/>
      <c r="J44" s="5"/>
      <c r="K44" s="4" t="str">
        <f t="shared" si="1"/>
        <v/>
      </c>
      <c r="L44" s="5"/>
      <c r="M44" s="5"/>
      <c r="N44" s="5"/>
      <c r="O44" s="5"/>
    </row>
    <row r="45" spans="1:15" ht="27.6">
      <c r="A45" s="2" t="s">
        <v>185</v>
      </c>
      <c r="B45" s="19"/>
      <c r="C45" s="19"/>
      <c r="D45" s="2">
        <f>SUM(D5:D44)</f>
        <v>0</v>
      </c>
      <c r="E45" s="2">
        <f>SUM(E5:E44)</f>
        <v>0</v>
      </c>
      <c r="F45" s="2">
        <f>SUM(F5:F44)</f>
        <v>0</v>
      </c>
      <c r="G45" s="30" t="str">
        <f>IFERROR(F45/E45,"")</f>
        <v/>
      </c>
      <c r="H45" s="2">
        <f>COUNTIF(H5:H44,"نعم")</f>
        <v>0</v>
      </c>
      <c r="I45" s="19"/>
      <c r="J45" s="2">
        <f>SUM(J5:J44)</f>
        <v>0</v>
      </c>
      <c r="K45" s="19"/>
      <c r="L45" s="2">
        <f>COUNTIF(L5:L44,"نعم")</f>
        <v>0</v>
      </c>
      <c r="M45" s="2">
        <f>SUM(M5:M44)</f>
        <v>0</v>
      </c>
      <c r="N45" s="19"/>
      <c r="O45" s="19"/>
    </row>
  </sheetData>
  <mergeCells count="2">
    <mergeCell ref="A1:O1"/>
    <mergeCell ref="A2:O2"/>
  </mergeCells>
  <dataValidations count="1">
    <dataValidation type="list" allowBlank="1" sqref="H5:H44 L5:L44">
      <formula1>"نعم,لا"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  <pageSetUpPr fitToPage="1"/>
  </sheetPr>
  <dimension ref="A1:N30"/>
  <sheetViews>
    <sheetView rightToLeft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4" sqref="B14"/>
    </sheetView>
  </sheetViews>
  <sheetFormatPr defaultColWidth="8.6640625" defaultRowHeight="14.4"/>
  <cols>
    <col min="1" max="1" width="6" customWidth="1"/>
    <col min="2" max="2" width="24" customWidth="1"/>
    <col min="3" max="3" width="11" customWidth="1"/>
    <col min="4" max="4" width="12" customWidth="1"/>
    <col min="5" max="5" width="11" customWidth="1"/>
    <col min="6" max="7" width="12" customWidth="1"/>
    <col min="8" max="8" width="11" customWidth="1"/>
    <col min="9" max="9" width="12" customWidth="1"/>
    <col min="10" max="10" width="14" customWidth="1"/>
    <col min="11" max="12" width="11" customWidth="1"/>
    <col min="13" max="13" width="24" customWidth="1"/>
    <col min="14" max="14" width="26" customWidth="1"/>
  </cols>
  <sheetData>
    <row r="1" spans="1:14" s="32" customFormat="1" ht="30" customHeight="1">
      <c r="A1" s="45" t="s">
        <v>262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s="32" customFormat="1" ht="15" customHeight="1">
      <c r="A2" s="46" t="s">
        <v>57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s="32" customFormat="1" ht="42" customHeight="1">
      <c r="A3" s="33" t="s">
        <v>2</v>
      </c>
      <c r="B3" s="33" t="s">
        <v>71</v>
      </c>
      <c r="C3" s="33" t="s">
        <v>263</v>
      </c>
      <c r="D3" s="33" t="s">
        <v>264</v>
      </c>
      <c r="E3" s="33" t="s">
        <v>265</v>
      </c>
      <c r="F3" s="33" t="s">
        <v>266</v>
      </c>
      <c r="G3" s="33" t="s">
        <v>267</v>
      </c>
      <c r="H3" s="33" t="s">
        <v>195</v>
      </c>
      <c r="I3" s="33" t="s">
        <v>268</v>
      </c>
      <c r="J3" s="33" t="s">
        <v>269</v>
      </c>
      <c r="K3" s="33" t="s">
        <v>270</v>
      </c>
      <c r="L3" s="33" t="s">
        <v>271</v>
      </c>
      <c r="M3" s="33" t="s">
        <v>272</v>
      </c>
      <c r="N3" s="33" t="s">
        <v>65</v>
      </c>
    </row>
    <row r="4" spans="1:14">
      <c r="A4" s="7" t="s">
        <v>121</v>
      </c>
      <c r="B4" s="7" t="s">
        <v>168</v>
      </c>
      <c r="C4" s="7">
        <v>30</v>
      </c>
      <c r="D4" s="7">
        <v>27</v>
      </c>
      <c r="E4" s="24">
        <f t="shared" ref="E4:E29" si="0">IF(OR(C4="",D4="",C4=0),"",D4/C4)</f>
        <v>0.9</v>
      </c>
      <c r="F4" s="7">
        <v>9000</v>
      </c>
      <c r="G4" s="7">
        <v>7600</v>
      </c>
      <c r="H4" s="24">
        <f t="shared" ref="H4:H29" si="1">IF(OR(F4="",G4="",F4=0),"",G4/F4)</f>
        <v>0.84444444444444444</v>
      </c>
      <c r="I4" s="7">
        <v>26</v>
      </c>
      <c r="J4" s="7" t="s">
        <v>166</v>
      </c>
      <c r="K4" s="7" t="s">
        <v>166</v>
      </c>
      <c r="L4" s="7">
        <v>12</v>
      </c>
      <c r="M4" s="7" t="s">
        <v>165</v>
      </c>
      <c r="N4" s="7"/>
    </row>
    <row r="5" spans="1:14">
      <c r="A5" s="19">
        <v>1</v>
      </c>
      <c r="B5" s="5"/>
      <c r="C5" s="5"/>
      <c r="D5" s="5"/>
      <c r="E5" s="25" t="str">
        <f t="shared" si="0"/>
        <v/>
      </c>
      <c r="F5" s="5"/>
      <c r="G5" s="5"/>
      <c r="H5" s="25" t="str">
        <f t="shared" si="1"/>
        <v/>
      </c>
      <c r="I5" s="5"/>
      <c r="J5" s="5"/>
      <c r="K5" s="5"/>
      <c r="L5" s="5"/>
      <c r="M5" s="5"/>
      <c r="N5" s="5"/>
    </row>
    <row r="6" spans="1:14">
      <c r="A6" s="19">
        <v>2</v>
      </c>
      <c r="B6" s="5"/>
      <c r="C6" s="5"/>
      <c r="D6" s="5"/>
      <c r="E6" s="25" t="str">
        <f t="shared" si="0"/>
        <v/>
      </c>
      <c r="F6" s="5"/>
      <c r="G6" s="5"/>
      <c r="H6" s="25" t="str">
        <f t="shared" si="1"/>
        <v/>
      </c>
      <c r="I6" s="5"/>
      <c r="J6" s="5"/>
      <c r="K6" s="5"/>
      <c r="L6" s="5"/>
      <c r="M6" s="5"/>
      <c r="N6" s="5"/>
    </row>
    <row r="7" spans="1:14">
      <c r="A7" s="19">
        <v>3</v>
      </c>
      <c r="B7" s="5"/>
      <c r="C7" s="5"/>
      <c r="D7" s="5"/>
      <c r="E7" s="25" t="str">
        <f t="shared" si="0"/>
        <v/>
      </c>
      <c r="F7" s="5"/>
      <c r="G7" s="5"/>
      <c r="H7" s="25" t="str">
        <f t="shared" si="1"/>
        <v/>
      </c>
      <c r="I7" s="5"/>
      <c r="J7" s="5"/>
      <c r="K7" s="5"/>
      <c r="L7" s="5"/>
      <c r="M7" s="5"/>
      <c r="N7" s="5"/>
    </row>
    <row r="8" spans="1:14">
      <c r="A8" s="19">
        <v>4</v>
      </c>
      <c r="B8" s="5"/>
      <c r="C8" s="5"/>
      <c r="D8" s="5"/>
      <c r="E8" s="25" t="str">
        <f t="shared" si="0"/>
        <v/>
      </c>
      <c r="F8" s="5"/>
      <c r="G8" s="5"/>
      <c r="H8" s="25" t="str">
        <f t="shared" si="1"/>
        <v/>
      </c>
      <c r="I8" s="5"/>
      <c r="J8" s="5"/>
      <c r="K8" s="5"/>
      <c r="L8" s="5"/>
      <c r="M8" s="5"/>
      <c r="N8" s="5"/>
    </row>
    <row r="9" spans="1:14">
      <c r="A9" s="19">
        <v>5</v>
      </c>
      <c r="B9" s="5"/>
      <c r="C9" s="5"/>
      <c r="D9" s="5"/>
      <c r="E9" s="25" t="str">
        <f t="shared" si="0"/>
        <v/>
      </c>
      <c r="F9" s="5"/>
      <c r="G9" s="5"/>
      <c r="H9" s="25" t="str">
        <f t="shared" si="1"/>
        <v/>
      </c>
      <c r="I9" s="5"/>
      <c r="J9" s="5"/>
      <c r="K9" s="5"/>
      <c r="L9" s="5"/>
      <c r="M9" s="5"/>
      <c r="N9" s="5"/>
    </row>
    <row r="10" spans="1:14">
      <c r="A10" s="19">
        <v>6</v>
      </c>
      <c r="B10" s="5"/>
      <c r="C10" s="5"/>
      <c r="D10" s="5"/>
      <c r="E10" s="25" t="str">
        <f t="shared" si="0"/>
        <v/>
      </c>
      <c r="F10" s="5"/>
      <c r="G10" s="5"/>
      <c r="H10" s="25" t="str">
        <f t="shared" si="1"/>
        <v/>
      </c>
      <c r="I10" s="5"/>
      <c r="J10" s="5"/>
      <c r="K10" s="5"/>
      <c r="L10" s="5"/>
      <c r="M10" s="5"/>
      <c r="N10" s="5"/>
    </row>
    <row r="11" spans="1:14">
      <c r="A11" s="19">
        <v>7</v>
      </c>
      <c r="B11" s="5"/>
      <c r="C11" s="5"/>
      <c r="D11" s="5"/>
      <c r="E11" s="25" t="str">
        <f t="shared" si="0"/>
        <v/>
      </c>
      <c r="F11" s="5"/>
      <c r="G11" s="5"/>
      <c r="H11" s="25" t="str">
        <f t="shared" si="1"/>
        <v/>
      </c>
      <c r="I11" s="5"/>
      <c r="J11" s="5"/>
      <c r="K11" s="5"/>
      <c r="L11" s="5"/>
      <c r="M11" s="5"/>
      <c r="N11" s="5"/>
    </row>
    <row r="12" spans="1:14">
      <c r="A12" s="19">
        <v>8</v>
      </c>
      <c r="B12" s="5"/>
      <c r="C12" s="5"/>
      <c r="D12" s="5"/>
      <c r="E12" s="25" t="str">
        <f t="shared" si="0"/>
        <v/>
      </c>
      <c r="F12" s="5"/>
      <c r="G12" s="5"/>
      <c r="H12" s="25" t="str">
        <f t="shared" si="1"/>
        <v/>
      </c>
      <c r="I12" s="5"/>
      <c r="J12" s="5"/>
      <c r="K12" s="5"/>
      <c r="L12" s="5"/>
      <c r="M12" s="5"/>
      <c r="N12" s="5"/>
    </row>
    <row r="13" spans="1:14">
      <c r="A13" s="19">
        <v>9</v>
      </c>
      <c r="B13" s="5"/>
      <c r="C13" s="5"/>
      <c r="D13" s="5"/>
      <c r="E13" s="25" t="str">
        <f t="shared" si="0"/>
        <v/>
      </c>
      <c r="F13" s="5"/>
      <c r="G13" s="5"/>
      <c r="H13" s="25" t="str">
        <f t="shared" si="1"/>
        <v/>
      </c>
      <c r="I13" s="5"/>
      <c r="J13" s="5"/>
      <c r="K13" s="5"/>
      <c r="L13" s="5"/>
      <c r="M13" s="5"/>
      <c r="N13" s="5"/>
    </row>
    <row r="14" spans="1:14">
      <c r="A14" s="19">
        <v>10</v>
      </c>
      <c r="B14" s="5"/>
      <c r="C14" s="5"/>
      <c r="D14" s="5"/>
      <c r="E14" s="25" t="str">
        <f t="shared" si="0"/>
        <v/>
      </c>
      <c r="F14" s="5"/>
      <c r="G14" s="5"/>
      <c r="H14" s="25" t="str">
        <f t="shared" si="1"/>
        <v/>
      </c>
      <c r="I14" s="5"/>
      <c r="J14" s="5"/>
      <c r="K14" s="5"/>
      <c r="L14" s="5"/>
      <c r="M14" s="5"/>
      <c r="N14" s="5"/>
    </row>
    <row r="15" spans="1:14">
      <c r="A15" s="19">
        <v>11</v>
      </c>
      <c r="B15" s="5"/>
      <c r="C15" s="5"/>
      <c r="D15" s="5"/>
      <c r="E15" s="25" t="str">
        <f t="shared" si="0"/>
        <v/>
      </c>
      <c r="F15" s="5"/>
      <c r="G15" s="5"/>
      <c r="H15" s="25" t="str">
        <f t="shared" si="1"/>
        <v/>
      </c>
      <c r="I15" s="5"/>
      <c r="J15" s="5"/>
      <c r="K15" s="5"/>
      <c r="L15" s="5"/>
      <c r="M15" s="5"/>
      <c r="N15" s="5"/>
    </row>
    <row r="16" spans="1:14">
      <c r="A16" s="19">
        <v>12</v>
      </c>
      <c r="B16" s="5"/>
      <c r="C16" s="5"/>
      <c r="D16" s="5"/>
      <c r="E16" s="25" t="str">
        <f t="shared" si="0"/>
        <v/>
      </c>
      <c r="F16" s="5"/>
      <c r="G16" s="5"/>
      <c r="H16" s="25" t="str">
        <f t="shared" si="1"/>
        <v/>
      </c>
      <c r="I16" s="5"/>
      <c r="J16" s="5"/>
      <c r="K16" s="5"/>
      <c r="L16" s="5"/>
      <c r="M16" s="5"/>
      <c r="N16" s="5"/>
    </row>
    <row r="17" spans="1:14">
      <c r="A17" s="19">
        <v>13</v>
      </c>
      <c r="B17" s="5"/>
      <c r="C17" s="5"/>
      <c r="D17" s="5"/>
      <c r="E17" s="25" t="str">
        <f t="shared" si="0"/>
        <v/>
      </c>
      <c r="F17" s="5"/>
      <c r="G17" s="5"/>
      <c r="H17" s="25" t="str">
        <f t="shared" si="1"/>
        <v/>
      </c>
      <c r="I17" s="5"/>
      <c r="J17" s="5"/>
      <c r="K17" s="5"/>
      <c r="L17" s="5"/>
      <c r="M17" s="5"/>
      <c r="N17" s="5"/>
    </row>
    <row r="18" spans="1:14">
      <c r="A18" s="19">
        <v>14</v>
      </c>
      <c r="B18" s="5"/>
      <c r="C18" s="5"/>
      <c r="D18" s="5"/>
      <c r="E18" s="25" t="str">
        <f t="shared" si="0"/>
        <v/>
      </c>
      <c r="F18" s="5"/>
      <c r="G18" s="5"/>
      <c r="H18" s="25" t="str">
        <f t="shared" si="1"/>
        <v/>
      </c>
      <c r="I18" s="5"/>
      <c r="J18" s="5"/>
      <c r="K18" s="5"/>
      <c r="L18" s="5"/>
      <c r="M18" s="5"/>
      <c r="N18" s="5"/>
    </row>
    <row r="19" spans="1:14">
      <c r="A19" s="19">
        <v>15</v>
      </c>
      <c r="B19" s="5"/>
      <c r="C19" s="5"/>
      <c r="D19" s="5"/>
      <c r="E19" s="25" t="str">
        <f t="shared" si="0"/>
        <v/>
      </c>
      <c r="F19" s="5"/>
      <c r="G19" s="5"/>
      <c r="H19" s="25" t="str">
        <f t="shared" si="1"/>
        <v/>
      </c>
      <c r="I19" s="5"/>
      <c r="J19" s="5"/>
      <c r="K19" s="5"/>
      <c r="L19" s="5"/>
      <c r="M19" s="5"/>
      <c r="N19" s="5"/>
    </row>
    <row r="20" spans="1:14">
      <c r="A20" s="19">
        <v>16</v>
      </c>
      <c r="B20" s="5"/>
      <c r="C20" s="5"/>
      <c r="D20" s="5"/>
      <c r="E20" s="25" t="str">
        <f t="shared" si="0"/>
        <v/>
      </c>
      <c r="F20" s="5"/>
      <c r="G20" s="5"/>
      <c r="H20" s="25" t="str">
        <f t="shared" si="1"/>
        <v/>
      </c>
      <c r="I20" s="5"/>
      <c r="J20" s="5"/>
      <c r="K20" s="5"/>
      <c r="L20" s="5"/>
      <c r="M20" s="5"/>
      <c r="N20" s="5"/>
    </row>
    <row r="21" spans="1:14">
      <c r="A21" s="19">
        <v>17</v>
      </c>
      <c r="B21" s="5"/>
      <c r="C21" s="5"/>
      <c r="D21" s="5"/>
      <c r="E21" s="25" t="str">
        <f t="shared" si="0"/>
        <v/>
      </c>
      <c r="F21" s="5"/>
      <c r="G21" s="5"/>
      <c r="H21" s="25" t="str">
        <f t="shared" si="1"/>
        <v/>
      </c>
      <c r="I21" s="5"/>
      <c r="J21" s="5"/>
      <c r="K21" s="5"/>
      <c r="L21" s="5"/>
      <c r="M21" s="5"/>
      <c r="N21" s="5"/>
    </row>
    <row r="22" spans="1:14">
      <c r="A22" s="19">
        <v>18</v>
      </c>
      <c r="B22" s="5"/>
      <c r="C22" s="5"/>
      <c r="D22" s="5"/>
      <c r="E22" s="25" t="str">
        <f t="shared" si="0"/>
        <v/>
      </c>
      <c r="F22" s="5"/>
      <c r="G22" s="5"/>
      <c r="H22" s="25" t="str">
        <f t="shared" si="1"/>
        <v/>
      </c>
      <c r="I22" s="5"/>
      <c r="J22" s="5"/>
      <c r="K22" s="5"/>
      <c r="L22" s="5"/>
      <c r="M22" s="5"/>
      <c r="N22" s="5"/>
    </row>
    <row r="23" spans="1:14">
      <c r="A23" s="19">
        <v>19</v>
      </c>
      <c r="B23" s="5"/>
      <c r="C23" s="5"/>
      <c r="D23" s="5"/>
      <c r="E23" s="25" t="str">
        <f t="shared" si="0"/>
        <v/>
      </c>
      <c r="F23" s="5"/>
      <c r="G23" s="5"/>
      <c r="H23" s="25" t="str">
        <f t="shared" si="1"/>
        <v/>
      </c>
      <c r="I23" s="5"/>
      <c r="J23" s="5"/>
      <c r="K23" s="5"/>
      <c r="L23" s="5"/>
      <c r="M23" s="5"/>
      <c r="N23" s="5"/>
    </row>
    <row r="24" spans="1:14">
      <c r="A24" s="19">
        <v>20</v>
      </c>
      <c r="B24" s="5"/>
      <c r="C24" s="5"/>
      <c r="D24" s="5"/>
      <c r="E24" s="25" t="str">
        <f t="shared" si="0"/>
        <v/>
      </c>
      <c r="F24" s="5"/>
      <c r="G24" s="5"/>
      <c r="H24" s="25" t="str">
        <f t="shared" si="1"/>
        <v/>
      </c>
      <c r="I24" s="5"/>
      <c r="J24" s="5"/>
      <c r="K24" s="5"/>
      <c r="L24" s="5"/>
      <c r="M24" s="5"/>
      <c r="N24" s="5"/>
    </row>
    <row r="25" spans="1:14">
      <c r="A25" s="19">
        <v>21</v>
      </c>
      <c r="B25" s="5"/>
      <c r="C25" s="5"/>
      <c r="D25" s="5"/>
      <c r="E25" s="25" t="str">
        <f t="shared" si="0"/>
        <v/>
      </c>
      <c r="F25" s="5"/>
      <c r="G25" s="5"/>
      <c r="H25" s="25" t="str">
        <f t="shared" si="1"/>
        <v/>
      </c>
      <c r="I25" s="5"/>
      <c r="J25" s="5"/>
      <c r="K25" s="5"/>
      <c r="L25" s="5"/>
      <c r="M25" s="5"/>
      <c r="N25" s="5"/>
    </row>
    <row r="26" spans="1:14">
      <c r="A26" s="19">
        <v>22</v>
      </c>
      <c r="B26" s="5"/>
      <c r="C26" s="5"/>
      <c r="D26" s="5"/>
      <c r="E26" s="25" t="str">
        <f t="shared" si="0"/>
        <v/>
      </c>
      <c r="F26" s="5"/>
      <c r="G26" s="5"/>
      <c r="H26" s="25" t="str">
        <f t="shared" si="1"/>
        <v/>
      </c>
      <c r="I26" s="5"/>
      <c r="J26" s="5"/>
      <c r="K26" s="5"/>
      <c r="L26" s="5"/>
      <c r="M26" s="5"/>
      <c r="N26" s="5"/>
    </row>
    <row r="27" spans="1:14">
      <c r="A27" s="19">
        <v>23</v>
      </c>
      <c r="B27" s="5"/>
      <c r="C27" s="5"/>
      <c r="D27" s="5"/>
      <c r="E27" s="25" t="str">
        <f t="shared" si="0"/>
        <v/>
      </c>
      <c r="F27" s="5"/>
      <c r="G27" s="5"/>
      <c r="H27" s="25" t="str">
        <f t="shared" si="1"/>
        <v/>
      </c>
      <c r="I27" s="5"/>
      <c r="J27" s="5"/>
      <c r="K27" s="5"/>
      <c r="L27" s="5"/>
      <c r="M27" s="5"/>
      <c r="N27" s="5"/>
    </row>
    <row r="28" spans="1:14">
      <c r="A28" s="19">
        <v>24</v>
      </c>
      <c r="B28" s="5"/>
      <c r="C28" s="5"/>
      <c r="D28" s="5"/>
      <c r="E28" s="25" t="str">
        <f t="shared" si="0"/>
        <v/>
      </c>
      <c r="F28" s="5"/>
      <c r="G28" s="5"/>
      <c r="H28" s="25" t="str">
        <f t="shared" si="1"/>
        <v/>
      </c>
      <c r="I28" s="5"/>
      <c r="J28" s="5"/>
      <c r="K28" s="5"/>
      <c r="L28" s="5"/>
      <c r="M28" s="5"/>
      <c r="N28" s="5"/>
    </row>
    <row r="29" spans="1:14">
      <c r="A29" s="19">
        <v>25</v>
      </c>
      <c r="B29" s="5"/>
      <c r="C29" s="5"/>
      <c r="D29" s="5"/>
      <c r="E29" s="25" t="str">
        <f t="shared" si="0"/>
        <v/>
      </c>
      <c r="F29" s="5"/>
      <c r="G29" s="5"/>
      <c r="H29" s="25" t="str">
        <f t="shared" si="1"/>
        <v/>
      </c>
      <c r="I29" s="5"/>
      <c r="J29" s="5"/>
      <c r="K29" s="5"/>
      <c r="L29" s="5"/>
      <c r="M29" s="5"/>
      <c r="N29" s="5"/>
    </row>
    <row r="30" spans="1:14" ht="27.6">
      <c r="A30" s="2" t="s">
        <v>185</v>
      </c>
      <c r="B30" s="19"/>
      <c r="C30" s="2">
        <f>SUM(C5:C29)</f>
        <v>0</v>
      </c>
      <c r="D30" s="2">
        <f>SUM(D5:D29)</f>
        <v>0</v>
      </c>
      <c r="E30" s="30" t="str">
        <f>IFERROR(D30/C30,"")</f>
        <v/>
      </c>
      <c r="F30" s="2">
        <f>SUM(F5:F29)</f>
        <v>0</v>
      </c>
      <c r="G30" s="2">
        <f>SUM(G5:G29)</f>
        <v>0</v>
      </c>
      <c r="H30" s="30" t="str">
        <f>IFERROR(G30/F30,"")</f>
        <v/>
      </c>
      <c r="I30" s="2">
        <f>SUM(I5:I29)</f>
        <v>0</v>
      </c>
      <c r="J30" s="2">
        <f>COUNTIF(J5:J29,"نعم")</f>
        <v>0</v>
      </c>
      <c r="K30" s="2">
        <f>COUNTIF(K5:K29,"نعم")</f>
        <v>0</v>
      </c>
      <c r="L30" s="2">
        <f>SUM(L5:L29)</f>
        <v>0</v>
      </c>
      <c r="M30" s="19"/>
      <c r="N30" s="19"/>
    </row>
  </sheetData>
  <mergeCells count="2">
    <mergeCell ref="A1:N1"/>
    <mergeCell ref="A2:N2"/>
  </mergeCells>
  <dataValidations count="1">
    <dataValidation type="list" allowBlank="1" sqref="J5:K29">
      <formula1>"نعم,لا"</formula1>
      <formula2>0</formula2>
    </dataValidation>
  </dataValidations>
  <pageMargins left="0.74803149606299213" right="0.74803149606299213" top="1.26" bottom="0.98425196850393704" header="0.51181102362204722" footer="0.51181102362204722"/>
  <pageSetup scale="61" fitToHeight="0" orientation="landscape" horizontalDpi="300" verticalDpi="300" r:id="rId1"/>
  <headerFooter>
    <oddHeader>&amp;L&amp;G&amp;Rالأزهر الشريف 
قطاع المعاهد الازهرية 
الإدارة المركزية لمنطقة .......</oddHead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I14"/>
  <sheetViews>
    <sheetView rightToLeft="1" zoomScaleNormal="100" workbookViewId="0"/>
  </sheetViews>
  <sheetFormatPr defaultColWidth="8.6640625" defaultRowHeight="14.4"/>
  <cols>
    <col min="1" max="1" width="5" customWidth="1"/>
    <col min="2" max="2" width="13" customWidth="1"/>
    <col min="3" max="3" width="34" customWidth="1"/>
    <col min="4" max="4" width="24" customWidth="1"/>
    <col min="5" max="6" width="14" customWidth="1"/>
    <col min="7" max="8" width="11" customWidth="1"/>
    <col min="9" max="9" width="16" customWidth="1"/>
  </cols>
  <sheetData>
    <row r="1" spans="1:9" ht="30" customHeight="1">
      <c r="A1" s="35" t="s">
        <v>273</v>
      </c>
      <c r="B1" s="35"/>
      <c r="C1" s="35"/>
      <c r="D1" s="35"/>
      <c r="E1" s="35"/>
      <c r="F1" s="35"/>
      <c r="G1" s="35"/>
      <c r="H1" s="35"/>
      <c r="I1" s="35"/>
    </row>
    <row r="2" spans="1:9" ht="15" customHeight="1">
      <c r="A2" s="36" t="s">
        <v>57</v>
      </c>
      <c r="B2" s="36"/>
      <c r="C2" s="36"/>
      <c r="D2" s="36"/>
      <c r="E2" s="36"/>
      <c r="F2" s="36"/>
      <c r="G2" s="36"/>
      <c r="H2" s="36"/>
      <c r="I2" s="36"/>
    </row>
    <row r="3" spans="1:9">
      <c r="A3" s="1" t="s">
        <v>2</v>
      </c>
      <c r="B3" s="1" t="s">
        <v>274</v>
      </c>
      <c r="C3" s="1" t="s">
        <v>275</v>
      </c>
      <c r="D3" s="1" t="s">
        <v>276</v>
      </c>
      <c r="E3" s="1" t="s">
        <v>277</v>
      </c>
      <c r="F3" s="1" t="s">
        <v>278</v>
      </c>
      <c r="G3" s="1" t="s">
        <v>279</v>
      </c>
      <c r="H3" s="1" t="s">
        <v>280</v>
      </c>
      <c r="I3" s="1" t="s">
        <v>63</v>
      </c>
    </row>
    <row r="4" spans="1:9" ht="30" customHeight="1">
      <c r="A4" s="2">
        <v>1</v>
      </c>
      <c r="B4" s="4" t="s">
        <v>281</v>
      </c>
      <c r="C4" s="3" t="s">
        <v>282</v>
      </c>
      <c r="D4" s="3" t="s">
        <v>283</v>
      </c>
      <c r="E4" s="31">
        <f>'متابعة الإدارات (منطقة)'!D30</f>
        <v>0</v>
      </c>
      <c r="F4" s="31">
        <f>'متابعة الإدارات (منطقة)'!C30</f>
        <v>0</v>
      </c>
      <c r="G4" s="25" t="str">
        <f t="shared" ref="G4:G12" si="0">IF(OR(E4="",F4="",F4=0),"",E4/F4)</f>
        <v/>
      </c>
      <c r="H4" s="10">
        <v>1</v>
      </c>
      <c r="I4" s="4" t="str">
        <f t="shared" ref="I4:I12" si="1">IF(G4="","",IF(G4&gt;=H4,"محقق","دون المستهدف"))</f>
        <v/>
      </c>
    </row>
    <row r="5" spans="1:9" ht="30" customHeight="1">
      <c r="A5" s="2">
        <v>2</v>
      </c>
      <c r="B5" s="4" t="s">
        <v>284</v>
      </c>
      <c r="C5" s="3" t="s">
        <v>285</v>
      </c>
      <c r="D5" s="3" t="s">
        <v>286</v>
      </c>
      <c r="E5" s="5"/>
      <c r="F5" s="5"/>
      <c r="G5" s="25" t="str">
        <f t="shared" si="0"/>
        <v/>
      </c>
      <c r="H5" s="10">
        <v>1</v>
      </c>
      <c r="I5" s="4" t="str">
        <f t="shared" si="1"/>
        <v/>
      </c>
    </row>
    <row r="6" spans="1:9" ht="30" customHeight="1">
      <c r="A6" s="2">
        <v>3</v>
      </c>
      <c r="B6" s="4" t="s">
        <v>287</v>
      </c>
      <c r="C6" s="3" t="s">
        <v>288</v>
      </c>
      <c r="D6" s="3" t="s">
        <v>289</v>
      </c>
      <c r="E6" s="31">
        <f>'متابعة الإدارات (منطقة)'!G30</f>
        <v>0</v>
      </c>
      <c r="F6" s="31">
        <f>'متابعة الإدارات (منطقة)'!F30</f>
        <v>0</v>
      </c>
      <c r="G6" s="25" t="str">
        <f t="shared" si="0"/>
        <v/>
      </c>
      <c r="H6" s="10">
        <v>1</v>
      </c>
      <c r="I6" s="4" t="str">
        <f t="shared" si="1"/>
        <v/>
      </c>
    </row>
    <row r="7" spans="1:9" ht="30" customHeight="1">
      <c r="A7" s="2">
        <v>4</v>
      </c>
      <c r="B7" s="4" t="s">
        <v>290</v>
      </c>
      <c r="C7" s="3" t="s">
        <v>291</v>
      </c>
      <c r="D7" s="3" t="s">
        <v>292</v>
      </c>
      <c r="E7" s="5"/>
      <c r="F7" s="5"/>
      <c r="G7" s="25" t="str">
        <f t="shared" si="0"/>
        <v/>
      </c>
      <c r="H7" s="10">
        <v>1</v>
      </c>
      <c r="I7" s="4" t="str">
        <f t="shared" si="1"/>
        <v/>
      </c>
    </row>
    <row r="8" spans="1:9" ht="30" customHeight="1">
      <c r="A8" s="2">
        <v>5</v>
      </c>
      <c r="B8" s="4" t="s">
        <v>293</v>
      </c>
      <c r="C8" s="3" t="s">
        <v>294</v>
      </c>
      <c r="D8" s="3" t="s">
        <v>295</v>
      </c>
      <c r="E8" s="5"/>
      <c r="F8" s="5"/>
      <c r="G8" s="25" t="str">
        <f t="shared" si="0"/>
        <v/>
      </c>
      <c r="H8" s="10">
        <v>0.1</v>
      </c>
      <c r="I8" s="4" t="str">
        <f t="shared" si="1"/>
        <v/>
      </c>
    </row>
    <row r="9" spans="1:9" ht="30" customHeight="1">
      <c r="A9" s="2">
        <v>6</v>
      </c>
      <c r="B9" s="4" t="s">
        <v>296</v>
      </c>
      <c r="C9" s="3" t="s">
        <v>297</v>
      </c>
      <c r="D9" s="3" t="s">
        <v>298</v>
      </c>
      <c r="E9" s="5"/>
      <c r="F9" s="5"/>
      <c r="G9" s="25" t="str">
        <f t="shared" si="0"/>
        <v/>
      </c>
      <c r="H9" s="10">
        <v>1</v>
      </c>
      <c r="I9" s="4" t="str">
        <f t="shared" si="1"/>
        <v/>
      </c>
    </row>
    <row r="10" spans="1:9" ht="30" customHeight="1">
      <c r="A10" s="2">
        <v>7</v>
      </c>
      <c r="B10" s="4" t="s">
        <v>299</v>
      </c>
      <c r="C10" s="3" t="s">
        <v>259</v>
      </c>
      <c r="D10" s="3" t="s">
        <v>300</v>
      </c>
      <c r="E10" s="31">
        <f>'متابعة الإدارات (منطقة)'!L30</f>
        <v>0</v>
      </c>
      <c r="F10" s="5"/>
      <c r="G10" s="25" t="str">
        <f t="shared" si="0"/>
        <v/>
      </c>
      <c r="H10" s="10">
        <v>1</v>
      </c>
      <c r="I10" s="4" t="str">
        <f t="shared" si="1"/>
        <v/>
      </c>
    </row>
    <row r="11" spans="1:9" ht="30" customHeight="1">
      <c r="A11" s="2">
        <v>8</v>
      </c>
      <c r="B11" s="4" t="s">
        <v>301</v>
      </c>
      <c r="C11" s="3" t="s">
        <v>302</v>
      </c>
      <c r="D11" s="3" t="s">
        <v>303</v>
      </c>
      <c r="E11" s="5"/>
      <c r="F11" s="5"/>
      <c r="G11" s="25" t="str">
        <f t="shared" si="0"/>
        <v/>
      </c>
      <c r="H11" s="10">
        <v>1</v>
      </c>
      <c r="I11" s="4" t="str">
        <f t="shared" si="1"/>
        <v/>
      </c>
    </row>
    <row r="12" spans="1:9" ht="30" customHeight="1">
      <c r="A12" s="2">
        <v>9</v>
      </c>
      <c r="B12" s="4" t="s">
        <v>304</v>
      </c>
      <c r="C12" s="3" t="s">
        <v>305</v>
      </c>
      <c r="D12" s="3" t="s">
        <v>306</v>
      </c>
      <c r="E12" s="5"/>
      <c r="F12" s="5"/>
      <c r="G12" s="25" t="str">
        <f t="shared" si="0"/>
        <v/>
      </c>
      <c r="H12" s="10">
        <v>1</v>
      </c>
      <c r="I12" s="4" t="str">
        <f t="shared" si="1"/>
        <v/>
      </c>
    </row>
    <row r="14" spans="1:9" ht="48" customHeight="1">
      <c r="A14" s="44" t="s">
        <v>307</v>
      </c>
      <c r="B14" s="44"/>
      <c r="C14" s="44"/>
      <c r="D14" s="44"/>
      <c r="E14" s="44"/>
      <c r="F14" s="44"/>
      <c r="G14" s="44"/>
      <c r="H14" s="44"/>
      <c r="I14" s="44"/>
    </row>
  </sheetData>
  <mergeCells count="3">
    <mergeCell ref="A1:I1"/>
    <mergeCell ref="A2:I2"/>
    <mergeCell ref="A14:I14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19</vt:i4>
      </vt:variant>
    </vt:vector>
  </HeadingPairs>
  <TitlesOfParts>
    <vt:vector size="19" baseType="lpstr">
      <vt:lpstr>تعليمات</vt:lpstr>
      <vt:lpstr>متابعة المراحل</vt:lpstr>
      <vt:lpstr>المساطر</vt:lpstr>
      <vt:lpstr>اختبارات ابتدائي بنين</vt:lpstr>
      <vt:lpstr>اختبارات إعدادي بنين</vt:lpstr>
      <vt:lpstr>اختبارات ثانوي بنين</vt:lpstr>
      <vt:lpstr>اختبارات ابتدائي بنات</vt:lpstr>
      <vt:lpstr>اختبارات إعدادي بنات</vt:lpstr>
      <vt:lpstr>سجل المنتخبات</vt:lpstr>
      <vt:lpstr>الكشف الطبي</vt:lpstr>
      <vt:lpstr>لجنة التحكيم</vt:lpstr>
      <vt:lpstr>بطاقة متابعة الطالب</vt:lpstr>
      <vt:lpstr>سجل التدريب</vt:lpstr>
      <vt:lpstr>اكتشاف الموهوبين</vt:lpstr>
      <vt:lpstr>التقييم الذاتي</vt:lpstr>
      <vt:lpstr>الزيارات الميدانية</vt:lpstr>
      <vt:lpstr>متابعة المعاهد (إدارة)</vt:lpstr>
      <vt:lpstr>متابعة الإدارات (منطقة)</vt:lpstr>
      <vt:lpstr>مؤشرات الأداء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cp:lastPrinted>2026-10-05T04:53:11Z</cp:lastPrinted>
  <dcterms:created xsi:type="dcterms:W3CDTF">2026-10-04T20:28:43Z</dcterms:created>
  <dcterms:modified xsi:type="dcterms:W3CDTF">2026-10-12T06:45:56Z</dcterms:modified>
  <dc:language>en-US</dc:language>
</cp:coreProperties>
</file>